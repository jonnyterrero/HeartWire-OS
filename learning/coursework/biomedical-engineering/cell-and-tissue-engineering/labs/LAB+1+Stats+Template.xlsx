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https://eaglefgcu-my.sharepoint.com/personal/msypabekova_fgcu_edu/Documents/Desktop/BME FGCU courses/CELLULAR AND TISSUE ENGINEERING/SPRING 2026/Labs/Lab 1/"/>
    </mc:Choice>
  </mc:AlternateContent>
  <xr:revisionPtr revIDLastSave="350" documentId="11_4952282C20337F9D95BBD643555231EBAE59956D" xr6:coauthVersionLast="47" xr6:coauthVersionMax="47" xr10:uidLastSave="{2EDBC9D0-1102-4E24-9C51-73C0D91218B5}"/>
  <bookViews>
    <workbookView xWindow="28680" yWindow="-120" windowWidth="29040" windowHeight="15840" tabRatio="500" xr2:uid="{00000000-000D-0000-FFFF-FFFF00000000}"/>
  </bookViews>
  <sheets>
    <sheet name="Data Across Material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1" i="1" l="1"/>
  <c r="F42" i="1"/>
  <c r="F41" i="1"/>
  <c r="E41" i="1"/>
  <c r="F40" i="1"/>
  <c r="E40" i="1"/>
  <c r="D40" i="1"/>
  <c r="E39" i="1"/>
  <c r="D39" i="1"/>
  <c r="C39" i="1"/>
  <c r="F39" i="1" l="1"/>
  <c r="C17" i="1"/>
  <c r="B17" i="1"/>
  <c r="B9" i="1"/>
  <c r="B10" i="1"/>
  <c r="B16" i="1"/>
  <c r="B27" i="1" s="1"/>
  <c r="G26" i="1"/>
  <c r="B28" i="1"/>
  <c r="C28" i="1"/>
  <c r="C27" i="1" s="1"/>
  <c r="G16" i="1" l="1"/>
  <c r="G18" i="1"/>
  <c r="B26" i="1"/>
  <c r="D26" i="1" s="1"/>
  <c r="C26" i="1"/>
  <c r="C9" i="1" l="1"/>
  <c r="D9" i="1"/>
  <c r="E9" i="1"/>
  <c r="F9" i="1"/>
  <c r="B18" i="1"/>
  <c r="C38" i="1"/>
  <c r="A40" i="1" s="1"/>
  <c r="D38" i="1"/>
  <c r="A41" i="1" s="1"/>
  <c r="E38" i="1"/>
  <c r="A42" i="1" s="1"/>
  <c r="F38" i="1"/>
  <c r="A43" i="1" s="1"/>
  <c r="B38" i="1"/>
  <c r="A39" i="1" s="1"/>
  <c r="C15" i="1"/>
  <c r="D15" i="1"/>
  <c r="E15" i="1"/>
  <c r="F15" i="1"/>
  <c r="B15" i="1"/>
  <c r="D18" i="1"/>
  <c r="E18" i="1"/>
  <c r="F18" i="1"/>
  <c r="C18" i="1"/>
  <c r="D17" i="1"/>
  <c r="E17" i="1"/>
  <c r="F17" i="1"/>
  <c r="F16" i="1"/>
  <c r="E16" i="1"/>
  <c r="D16" i="1"/>
  <c r="C16" i="1"/>
  <c r="D27" i="1" l="1"/>
  <c r="E26" i="1" l="1"/>
  <c r="F26" i="1" l="1"/>
  <c r="B3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Liao, Dr. Jiehong</author>
    <author>Jiehong Liao</author>
    <author>Jie L</author>
  </authors>
  <commentList>
    <comment ref="G15" authorId="0" shapeId="0" xr:uid="{A6AA7226-C7AA-4C92-A438-1B83919FDFC4}">
      <text>
        <r>
          <rPr>
            <sz val="12"/>
            <color rgb="FF000000"/>
            <rFont val="Calibri"/>
            <family val="2"/>
            <scheme val="minor"/>
          </rPr>
          <t>Total or overall sample size</t>
        </r>
      </text>
    </comment>
    <comment ref="B25" authorId="1" shapeId="0" xr:uid="{00000000-0006-0000-0000-000001000000}">
      <text>
        <r>
          <rPr>
            <sz val="9"/>
            <color indexed="81"/>
            <rFont val="Tahoma"/>
            <family val="2"/>
          </rPr>
          <t>Sum of Squares</t>
        </r>
      </text>
    </comment>
    <comment ref="C25" authorId="1" shapeId="0" xr:uid="{00000000-0006-0000-0000-000002000000}">
      <text>
        <r>
          <rPr>
            <sz val="9"/>
            <color indexed="81"/>
            <rFont val="Tahoma"/>
            <family val="2"/>
          </rPr>
          <t>Degrees of Freedom</t>
        </r>
      </text>
    </comment>
    <comment ref="D25" authorId="1" shapeId="0" xr:uid="{00000000-0006-0000-0000-000003000000}">
      <text>
        <r>
          <rPr>
            <sz val="9"/>
            <color indexed="81"/>
            <rFont val="Tahoma"/>
            <family val="2"/>
          </rPr>
          <t>Mean Square = SS / df</t>
        </r>
      </text>
    </comment>
    <comment ref="E25" authorId="1" shapeId="0" xr:uid="{00000000-0006-0000-0000-000004000000}">
      <text>
        <r>
          <rPr>
            <sz val="12"/>
            <color rgb="FF000000"/>
            <rFont val="Calibri"/>
            <family val="2"/>
            <scheme val="minor"/>
          </rPr>
          <t>F statistic or F ratio
F(df_b,df_w) = MSR / MSE, p&lt;=alpha</t>
        </r>
      </text>
    </comment>
    <comment ref="F25" authorId="1" shapeId="0" xr:uid="{00000000-0006-0000-0000-000005000000}">
      <text>
        <r>
          <rPr>
            <sz val="9"/>
            <color indexed="81"/>
            <rFont val="Tahoma"/>
            <family val="2"/>
          </rPr>
          <t>P value</t>
        </r>
      </text>
    </comment>
    <comment ref="G25" authorId="0" shapeId="0" xr:uid="{D5B814F4-799C-4E37-BBD9-4D845BCDFA1F}">
      <text>
        <r>
          <rPr>
            <sz val="12"/>
            <color rgb="FF000000"/>
            <rFont val="Calibri"/>
            <family val="2"/>
            <scheme val="minor"/>
          </rPr>
          <t>F critical value</t>
        </r>
      </text>
    </comment>
    <comment ref="B26" authorId="2" shapeId="0" xr:uid="{D950928D-0D5B-4757-82A7-8EA8D2E2C374}">
      <text>
        <r>
          <rPr>
            <sz val="9"/>
            <color indexed="81"/>
            <rFont val="Tahoma"/>
            <family val="2"/>
          </rPr>
          <t>SSR = SST - SSE</t>
        </r>
      </text>
    </comment>
    <comment ref="C26" authorId="2" shapeId="0" xr:uid="{00952615-31AB-4C22-BB60-1CE95AFC04E1}">
      <text>
        <r>
          <rPr>
            <sz val="12"/>
            <color rgb="FF000000"/>
            <rFont val="Calibri"/>
            <family val="2"/>
            <scheme val="minor"/>
          </rPr>
          <t>dfB = k-1</t>
        </r>
      </text>
    </comment>
    <comment ref="D26" authorId="2" shapeId="0" xr:uid="{F2D39AB7-1FD0-4291-BF85-39C260F99C65}">
      <text>
        <r>
          <rPr>
            <sz val="12"/>
            <color rgb="FF000000"/>
            <rFont val="Calibri"/>
            <family val="2"/>
            <scheme val="minor"/>
          </rPr>
          <t>MSB = SSB / dfB</t>
        </r>
      </text>
    </comment>
    <comment ref="B27" authorId="2" shapeId="0" xr:uid="{3B7114CB-9A61-4B38-A90E-7DA10EE44ACF}">
      <text>
        <r>
          <rPr>
            <sz val="9"/>
            <color indexed="81"/>
            <rFont val="Tahoma"/>
            <family val="2"/>
          </rPr>
          <t>SSE = sum (df_i x var_i)</t>
        </r>
      </text>
    </comment>
    <comment ref="C27" authorId="2" shapeId="0" xr:uid="{8A4ACD3E-881B-4780-8FFF-696365AE0E94}">
      <text>
        <r>
          <rPr>
            <sz val="12"/>
            <color rgb="FF000000"/>
            <rFont val="Calibri"/>
            <family val="2"/>
            <scheme val="minor"/>
          </rPr>
          <t>dfW = N-k</t>
        </r>
      </text>
    </comment>
    <comment ref="D27" authorId="2" shapeId="0" xr:uid="{FE191EB9-A7D9-4474-8564-C2DC7832C09C}">
      <text>
        <r>
          <rPr>
            <sz val="12"/>
            <color rgb="FF000000"/>
            <rFont val="Calibri"/>
            <family val="2"/>
            <scheme val="minor"/>
          </rPr>
          <t>MSW = SSW / dfW
aka MSE (mean squared error)</t>
        </r>
      </text>
    </comment>
    <comment ref="B28" authorId="2" shapeId="0" xr:uid="{8F685E8E-DC24-4B3E-97CA-4174FDA809BD}">
      <text>
        <r>
          <rPr>
            <sz val="9"/>
            <color indexed="81"/>
            <rFont val="Tahoma"/>
            <family val="2"/>
          </rPr>
          <t>SST = sum ( sum ( var_ij x df_t ) )</t>
        </r>
      </text>
    </comment>
    <comment ref="C28" authorId="2" shapeId="0" xr:uid="{0F51FE58-F1BF-44A8-A185-9C14568BFAAA}">
      <text>
        <r>
          <rPr>
            <sz val="12"/>
            <color rgb="FF000000"/>
            <rFont val="Calibri"/>
            <family val="2"/>
            <scheme val="minor"/>
          </rPr>
          <t>dfT = N-1</t>
        </r>
      </text>
    </comment>
    <comment ref="B37" authorId="0" shapeId="0" xr:uid="{507F003E-8308-431B-9853-A6A63F4B5302}">
      <text>
        <r>
          <rPr>
            <sz val="12"/>
            <color rgb="FF000000"/>
            <rFont val="Calibri"/>
            <family val="2"/>
            <scheme val="minor"/>
          </rPr>
          <t>q(k,dfW)</t>
        </r>
      </text>
    </comment>
  </commentList>
</comments>
</file>

<file path=xl/sharedStrings.xml><?xml version="1.0" encoding="utf-8"?>
<sst xmlns="http://schemas.openxmlformats.org/spreadsheetml/2006/main" count="63" uniqueCount="62">
  <si>
    <t>DATA COLLECTION</t>
  </si>
  <si>
    <t>DO NOT make any changes here; DOWNLOAD your own copy to edit.</t>
  </si>
  <si>
    <t>Comment: Input data into the table below; only change numbers in BLUE.</t>
  </si>
  <si>
    <t>Clean</t>
  </si>
  <si>
    <t>Anti-Fog</t>
  </si>
  <si>
    <t>Repllent</t>
  </si>
  <si>
    <t>Etched</t>
  </si>
  <si>
    <t>Sanded</t>
  </si>
  <si>
    <t>Measurement 1</t>
  </si>
  <si>
    <t>Measurement 2</t>
  </si>
  <si>
    <t>Measurement 3</t>
  </si>
  <si>
    <t>Treatment Means</t>
  </si>
  <si>
    <t>Global Mean</t>
  </si>
  <si>
    <t>DESCRIPTIVE STATISTICS</t>
  </si>
  <si>
    <t>Comment: Summary of values from data; used for ANOVA.</t>
  </si>
  <si>
    <t>Total Sample Size (N)</t>
  </si>
  <si>
    <t>Sample Size (n)</t>
  </si>
  <si>
    <t>Sample Mean (x_bar)</t>
  </si>
  <si>
    <t>Number of Groups (k)</t>
  </si>
  <si>
    <t>Sample Variance (s^2)</t>
  </si>
  <si>
    <t>ANOVA TABLE</t>
  </si>
  <si>
    <t>Comment: Results of ANOVA indicated in HIGHLIGHT.</t>
  </si>
  <si>
    <t>Significance level (alpha)</t>
  </si>
  <si>
    <t>Null hypothesis (H_o)</t>
  </si>
  <si>
    <t>No significant effect of surface treatment on contact angle.</t>
  </si>
  <si>
    <t>Sum of squares</t>
  </si>
  <si>
    <t>Degrees of freedom</t>
  </si>
  <si>
    <t>Mean square</t>
  </si>
  <si>
    <t>F statistic or ratio</t>
  </si>
  <si>
    <t>P value</t>
  </si>
  <si>
    <t>F critical value</t>
  </si>
  <si>
    <t>SS</t>
  </si>
  <si>
    <t>df</t>
  </si>
  <si>
    <t>MS</t>
  </si>
  <si>
    <t>F</t>
  </si>
  <si>
    <t>p</t>
  </si>
  <si>
    <t>F*</t>
  </si>
  <si>
    <t>Between Groups</t>
  </si>
  <si>
    <t>Within Groups (Error)</t>
  </si>
  <si>
    <t>Total</t>
  </si>
  <si>
    <t>Decision</t>
  </si>
  <si>
    <t>Interpretation</t>
  </si>
  <si>
    <t>Tukey HSD</t>
  </si>
  <si>
    <t>Test whether absolute difference of two means being compared is &gt;= bound</t>
  </si>
  <si>
    <t>POST-HOC ANALYSIS</t>
  </si>
  <si>
    <t>Comment: Only if null is rejected; pairs labeled "TRUE" indicate signficant difference.</t>
  </si>
  <si>
    <t>Studentized Range Statistic (q)</t>
  </si>
  <si>
    <t>Enter formulas for calculations of summary statistics here</t>
  </si>
  <si>
    <t>Do not "hard code" anything; refer to cells or groups of cells</t>
  </si>
  <si>
    <t>Helpful functions include COUNT, AVERAGE, VAR, SUM</t>
  </si>
  <si>
    <t>Remember variance (VAR) is equal to standard deviation (STDEV) raised to the second power</t>
  </si>
  <si>
    <t>Enter formulas for calculations of ANOVA table components here</t>
  </si>
  <si>
    <t>Helpful functions include VAR, SUM, FDIST, FINV</t>
  </si>
  <si>
    <t>Refer back to the problem statement to interpret within context</t>
  </si>
  <si>
    <t>Tukey Honestly Significant Difference (HSD)</t>
  </si>
  <si>
    <t>Studentized range statistic</t>
  </si>
  <si>
    <t>based on k, df SSE, alpha</t>
  </si>
  <si>
    <t>Enter formulas for comparison of mean difference to bounds here</t>
  </si>
  <si>
    <t>Helpful functions include ABS, SQRT</t>
  </si>
  <si>
    <t>Inequalities will return "TRUE" or "FALSE"</t>
  </si>
  <si>
    <t>Enter titles/labels for experimental conditions/levels here</t>
  </si>
  <si>
    <t>Enter data values in this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</si>
</sst>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12" x14ac:knownFonts="1"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70C0"/>
      <name val="Calibri"/>
      <family val="2"/>
      <scheme val="minor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2"/>
      <color rgb="FF2F75B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rgb="FF000000"/>
      </patternFill>
    </fill>
  </fills>
  <borders count="13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1" fontId="0" fillId="0" borderId="4" xfId="1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5" xfId="0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2" fontId="2" fillId="0" borderId="6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8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1" fillId="5" borderId="2" xfId="0" applyFont="1" applyFill="1" applyBorder="1"/>
    <xf numFmtId="0" fontId="11" fillId="5" borderId="3" xfId="0" applyFont="1" applyFill="1" applyBorder="1"/>
    <xf numFmtId="0" fontId="11" fillId="5" borderId="4" xfId="0" applyFont="1" applyFill="1" applyBorder="1"/>
    <xf numFmtId="0" fontId="11" fillId="5" borderId="5" xfId="0" applyFont="1" applyFill="1" applyBorder="1"/>
    <xf numFmtId="0" fontId="11" fillId="5" borderId="0" xfId="0" applyFont="1" applyFill="1"/>
    <xf numFmtId="0" fontId="11" fillId="5" borderId="6" xfId="0" applyFont="1" applyFill="1" applyBorder="1"/>
    <xf numFmtId="0" fontId="11" fillId="5" borderId="7" xfId="0" applyFont="1" applyFill="1" applyBorder="1"/>
    <xf numFmtId="0" fontId="11" fillId="5" borderId="8" xfId="0" applyFont="1" applyFill="1" applyBorder="1"/>
    <xf numFmtId="0" fontId="11" fillId="5" borderId="9" xfId="0" applyFont="1" applyFill="1" applyBorder="1"/>
    <xf numFmtId="0" fontId="11" fillId="0" borderId="0" xfId="0" applyFont="1"/>
    <xf numFmtId="0" fontId="9" fillId="4" borderId="0" xfId="0" applyFont="1" applyFill="1" applyAlignment="1">
      <alignment horizontal="left" vertical="center"/>
    </xf>
    <xf numFmtId="0" fontId="9" fillId="4" borderId="0" xfId="0" applyFont="1" applyFill="1" applyAlignment="1">
      <alignment vertical="center"/>
    </xf>
  </cellXfs>
  <cellStyles count="2">
    <cellStyle name="Comma" xfId="1" builtinId="3"/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zoomScaleNormal="100" workbookViewId="0">
      <selection activeCell="D40" sqref="D40"/>
    </sheetView>
  </sheetViews>
  <sheetFormatPr defaultColWidth="10.59765625" defaultRowHeight="15.6" x14ac:dyDescent="0.3"/>
  <cols>
    <col min="1" max="1" width="29.09765625" style="1" customWidth="1"/>
    <col min="2" max="2" width="10.59765625" style="3" customWidth="1"/>
    <col min="3" max="3" width="13.8984375" style="3" customWidth="1"/>
    <col min="4" max="6" width="10.59765625" style="3" customWidth="1"/>
    <col min="7" max="7" width="21.59765625" style="3" customWidth="1"/>
    <col min="8" max="8" width="10.59765625" style="1" customWidth="1"/>
    <col min="9" max="16384" width="10.59765625" style="1"/>
  </cols>
  <sheetData>
    <row r="1" spans="1:17" x14ac:dyDescent="0.3">
      <c r="A1" s="15" t="s">
        <v>0</v>
      </c>
      <c r="B1" s="60" t="s">
        <v>1</v>
      </c>
      <c r="C1" s="16"/>
      <c r="D1" s="16"/>
      <c r="E1" s="16"/>
      <c r="F1" s="16"/>
      <c r="G1" s="17"/>
    </row>
    <row r="2" spans="1:17" x14ac:dyDescent="0.3">
      <c r="A2" s="18" t="s">
        <v>2</v>
      </c>
      <c r="B2" s="19"/>
      <c r="C2" s="20"/>
      <c r="D2" s="20"/>
      <c r="E2" s="20"/>
      <c r="F2" s="20"/>
      <c r="G2" s="21"/>
    </row>
    <row r="3" spans="1:17" x14ac:dyDescent="0.3">
      <c r="A3" s="22"/>
      <c r="B3" s="23"/>
      <c r="G3" s="11"/>
    </row>
    <row r="4" spans="1:17" x14ac:dyDescent="0.3">
      <c r="A4" s="24"/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25"/>
    </row>
    <row r="5" spans="1:17" x14ac:dyDescent="0.3">
      <c r="A5" s="26" t="s">
        <v>8</v>
      </c>
      <c r="B5" s="61">
        <v>17.5</v>
      </c>
      <c r="C5" s="62">
        <v>3</v>
      </c>
      <c r="D5" s="62">
        <v>17</v>
      </c>
      <c r="E5" s="62">
        <v>15</v>
      </c>
      <c r="F5" s="63">
        <v>8</v>
      </c>
      <c r="G5" s="27"/>
    </row>
    <row r="6" spans="1:17" x14ac:dyDescent="0.3">
      <c r="A6" s="26" t="s">
        <v>9</v>
      </c>
      <c r="B6" s="64">
        <v>18.5</v>
      </c>
      <c r="C6" s="65">
        <v>9</v>
      </c>
      <c r="D6" s="65">
        <v>14</v>
      </c>
      <c r="E6" s="65">
        <v>6</v>
      </c>
      <c r="F6" s="66">
        <v>7</v>
      </c>
      <c r="G6" s="27"/>
    </row>
    <row r="7" spans="1:17" x14ac:dyDescent="0.3">
      <c r="A7" s="26" t="s">
        <v>10</v>
      </c>
      <c r="B7" s="67">
        <v>15</v>
      </c>
      <c r="C7" s="68">
        <v>5</v>
      </c>
      <c r="D7" s="68">
        <v>14</v>
      </c>
      <c r="E7" s="68">
        <v>8</v>
      </c>
      <c r="F7" s="69">
        <v>7.5</v>
      </c>
      <c r="G7" s="27"/>
      <c r="I7" t="s">
        <v>60</v>
      </c>
      <c r="J7"/>
      <c r="K7"/>
      <c r="L7" s="70"/>
      <c r="M7" s="70"/>
    </row>
    <row r="8" spans="1:17" x14ac:dyDescent="0.3">
      <c r="A8" s="26"/>
      <c r="B8" s="28"/>
      <c r="C8" s="28"/>
      <c r="D8" s="28"/>
      <c r="E8" s="28"/>
      <c r="F8" s="28"/>
      <c r="G8" s="27"/>
      <c r="I8" t="s">
        <v>61</v>
      </c>
      <c r="J8"/>
      <c r="K8"/>
      <c r="L8" s="70"/>
      <c r="M8" s="70"/>
    </row>
    <row r="9" spans="1:17" x14ac:dyDescent="0.3">
      <c r="A9" s="29" t="s">
        <v>11</v>
      </c>
      <c r="B9" s="10">
        <f>AVERAGE(B5:B7)</f>
        <v>17</v>
      </c>
      <c r="C9" s="10">
        <f>AVERAGE(C5:C7)</f>
        <v>5.666666666666667</v>
      </c>
      <c r="D9" s="10">
        <f>AVERAGE(D5:D7)</f>
        <v>15</v>
      </c>
      <c r="E9" s="10">
        <f>AVERAGE(E5:E7)</f>
        <v>9.6666666666666661</v>
      </c>
      <c r="F9" s="10">
        <f>AVERAGE(F5:F7)</f>
        <v>7.5</v>
      </c>
      <c r="G9" s="11"/>
      <c r="I9" s="70"/>
      <c r="J9" s="70"/>
      <c r="K9" s="70"/>
      <c r="L9" s="70"/>
      <c r="M9" s="70"/>
    </row>
    <row r="10" spans="1:17" x14ac:dyDescent="0.3">
      <c r="A10" s="29" t="s">
        <v>12</v>
      </c>
      <c r="B10" s="10">
        <f>AVERAGE(B9:F9)</f>
        <v>10.966666666666667</v>
      </c>
      <c r="C10" s="10"/>
      <c r="D10" s="10"/>
      <c r="E10" s="10"/>
      <c r="F10" s="10"/>
      <c r="G10" s="27"/>
    </row>
    <row r="11" spans="1:17" x14ac:dyDescent="0.3">
      <c r="A11" s="29"/>
      <c r="B11" s="10"/>
      <c r="C11" s="10"/>
      <c r="D11" s="10"/>
      <c r="E11" s="10"/>
      <c r="F11" s="10"/>
      <c r="G11" s="27"/>
    </row>
    <row r="12" spans="1:17" x14ac:dyDescent="0.3">
      <c r="A12" s="30" t="s">
        <v>13</v>
      </c>
      <c r="B12" s="20"/>
      <c r="C12" s="20"/>
      <c r="D12" s="20"/>
      <c r="E12" s="20"/>
      <c r="F12" s="20"/>
      <c r="G12" s="21"/>
    </row>
    <row r="13" spans="1:17" x14ac:dyDescent="0.3">
      <c r="A13" s="18" t="s">
        <v>14</v>
      </c>
      <c r="B13" s="20"/>
      <c r="C13" s="20"/>
      <c r="D13" s="20"/>
      <c r="E13" s="20"/>
      <c r="F13" s="20"/>
      <c r="G13" s="21"/>
    </row>
    <row r="14" spans="1:17" x14ac:dyDescent="0.3">
      <c r="A14" s="58"/>
      <c r="G14" s="11"/>
    </row>
    <row r="15" spans="1:17" x14ac:dyDescent="0.3">
      <c r="A15" s="58"/>
      <c r="B15" s="4" t="str">
        <f>B$4</f>
        <v>Clean</v>
      </c>
      <c r="C15" s="4" t="str">
        <f t="shared" ref="C15:F15" si="0">C$4</f>
        <v>Anti-Fog</v>
      </c>
      <c r="D15" s="4" t="str">
        <f t="shared" si="0"/>
        <v>Repllent</v>
      </c>
      <c r="E15" s="4" t="str">
        <f t="shared" si="0"/>
        <v>Etched</v>
      </c>
      <c r="F15" s="4" t="str">
        <f t="shared" si="0"/>
        <v>Sanded</v>
      </c>
      <c r="G15" s="59" t="s">
        <v>15</v>
      </c>
      <c r="I15" t="s">
        <v>47</v>
      </c>
      <c r="J15"/>
      <c r="K15"/>
      <c r="L15"/>
      <c r="M15"/>
      <c r="N15"/>
      <c r="O15"/>
      <c r="P15"/>
      <c r="Q15"/>
    </row>
    <row r="16" spans="1:17" x14ac:dyDescent="0.3">
      <c r="A16" s="26" t="s">
        <v>16</v>
      </c>
      <c r="B16" s="31">
        <f>COUNT(B5:B7)</f>
        <v>3</v>
      </c>
      <c r="C16" s="6">
        <f>COUNT(C5:C7)</f>
        <v>3</v>
      </c>
      <c r="D16" s="6">
        <f>COUNT(D5:D7)</f>
        <v>3</v>
      </c>
      <c r="E16" s="6">
        <f>COUNT(E5:E7)</f>
        <v>3</v>
      </c>
      <c r="F16" s="32">
        <f>COUNT(F5:F7)</f>
        <v>3</v>
      </c>
      <c r="G16" s="11">
        <f>SUM(B16:F16)</f>
        <v>15</v>
      </c>
      <c r="I16" t="s">
        <v>48</v>
      </c>
      <c r="J16"/>
      <c r="K16"/>
      <c r="L16"/>
      <c r="M16"/>
      <c r="N16"/>
      <c r="O16"/>
      <c r="P16"/>
      <c r="Q16"/>
    </row>
    <row r="17" spans="1:17" x14ac:dyDescent="0.3">
      <c r="A17" s="26" t="s">
        <v>17</v>
      </c>
      <c r="B17" s="9">
        <f>AVERAGE(B5:B7)</f>
        <v>17</v>
      </c>
      <c r="C17" s="10">
        <f>AVERAGE(C5:C7)</f>
        <v>5.666666666666667</v>
      </c>
      <c r="D17" s="10">
        <f>AVERAGE(D5:D7)</f>
        <v>15</v>
      </c>
      <c r="E17" s="10">
        <f>AVERAGE(E5:E7)</f>
        <v>9.6666666666666661</v>
      </c>
      <c r="F17" s="33">
        <f>AVERAGE(F5:F7)</f>
        <v>7.5</v>
      </c>
      <c r="G17" s="59" t="s">
        <v>18</v>
      </c>
      <c r="I17" t="s">
        <v>49</v>
      </c>
      <c r="J17"/>
      <c r="K17"/>
      <c r="L17"/>
      <c r="M17"/>
      <c r="N17"/>
      <c r="O17"/>
      <c r="P17"/>
      <c r="Q17"/>
    </row>
    <row r="18" spans="1:17" x14ac:dyDescent="0.3">
      <c r="A18" s="26" t="s">
        <v>19</v>
      </c>
      <c r="B18" s="12">
        <f>VAR(B5:B7)</f>
        <v>3.25</v>
      </c>
      <c r="C18" s="34">
        <f>VAR(C5:C7)</f>
        <v>9.3333333333333357</v>
      </c>
      <c r="D18" s="34">
        <f>VAR(D5:D7)</f>
        <v>3</v>
      </c>
      <c r="E18" s="34">
        <f>VAR(E5:E7)</f>
        <v>22.333333333333343</v>
      </c>
      <c r="F18" s="35">
        <f>VAR(F5:F7)</f>
        <v>0.25</v>
      </c>
      <c r="G18" s="11">
        <f>COUNT(B16:F16)</f>
        <v>5</v>
      </c>
      <c r="I18" t="s">
        <v>50</v>
      </c>
      <c r="J18"/>
      <c r="K18"/>
      <c r="L18"/>
      <c r="M18"/>
      <c r="N18"/>
      <c r="O18"/>
      <c r="P18"/>
      <c r="Q18"/>
    </row>
    <row r="19" spans="1:17" x14ac:dyDescent="0.3">
      <c r="A19" s="26"/>
      <c r="B19" s="10"/>
      <c r="C19" s="10"/>
      <c r="D19" s="10"/>
      <c r="E19" s="10"/>
      <c r="F19" s="10"/>
      <c r="G19" s="11"/>
    </row>
    <row r="20" spans="1:17" x14ac:dyDescent="0.3">
      <c r="A20" s="30" t="s">
        <v>20</v>
      </c>
      <c r="B20" s="20"/>
      <c r="C20" s="20"/>
      <c r="D20" s="20"/>
      <c r="E20" s="20"/>
      <c r="F20" s="20"/>
      <c r="G20" s="21"/>
    </row>
    <row r="21" spans="1:17" x14ac:dyDescent="0.3">
      <c r="A21" s="18" t="s">
        <v>21</v>
      </c>
      <c r="B21" s="20"/>
      <c r="C21" s="20"/>
      <c r="D21" s="20"/>
      <c r="E21" s="20"/>
      <c r="F21" s="20"/>
      <c r="G21" s="21"/>
    </row>
    <row r="22" spans="1:17" x14ac:dyDescent="0.3">
      <c r="A22" s="36" t="s">
        <v>22</v>
      </c>
      <c r="B22" s="37">
        <v>0.05</v>
      </c>
      <c r="G22" s="11"/>
    </row>
    <row r="23" spans="1:17" x14ac:dyDescent="0.3">
      <c r="A23" s="26" t="s">
        <v>23</v>
      </c>
      <c r="B23" s="37" t="s">
        <v>24</v>
      </c>
      <c r="G23" s="54"/>
      <c r="I23" t="s">
        <v>51</v>
      </c>
      <c r="J23"/>
      <c r="K23"/>
      <c r="L23"/>
      <c r="M23"/>
    </row>
    <row r="24" spans="1:17" x14ac:dyDescent="0.3">
      <c r="A24" s="24"/>
      <c r="B24" s="56" t="s">
        <v>25</v>
      </c>
      <c r="C24" s="56" t="s">
        <v>26</v>
      </c>
      <c r="D24" s="56" t="s">
        <v>27</v>
      </c>
      <c r="E24" s="56" t="s">
        <v>28</v>
      </c>
      <c r="F24" s="56" t="s">
        <v>29</v>
      </c>
      <c r="G24" s="57" t="s">
        <v>30</v>
      </c>
      <c r="I24" t="s">
        <v>48</v>
      </c>
      <c r="J24"/>
      <c r="K24"/>
      <c r="L24"/>
      <c r="M24"/>
    </row>
    <row r="25" spans="1:17" x14ac:dyDescent="0.3">
      <c r="A25" s="24"/>
      <c r="B25" s="4" t="s">
        <v>31</v>
      </c>
      <c r="C25" s="4" t="s">
        <v>32</v>
      </c>
      <c r="D25" s="4" t="s">
        <v>33</v>
      </c>
      <c r="E25" s="4" t="s">
        <v>34</v>
      </c>
      <c r="F25" s="4" t="s">
        <v>35</v>
      </c>
      <c r="G25" s="55" t="s">
        <v>36</v>
      </c>
      <c r="I25" t="s">
        <v>52</v>
      </c>
      <c r="J25"/>
      <c r="K25"/>
      <c r="L25"/>
      <c r="M25"/>
    </row>
    <row r="26" spans="1:17" x14ac:dyDescent="0.3">
      <c r="A26" s="26" t="s">
        <v>37</v>
      </c>
      <c r="B26" s="5">
        <f>B28-B27</f>
        <v>283.39999999999998</v>
      </c>
      <c r="C26" s="6">
        <f>COUNT(B5:F5)-1</f>
        <v>4</v>
      </c>
      <c r="D26" s="7">
        <f>B26/C26</f>
        <v>70.849999999999994</v>
      </c>
      <c r="E26" s="7">
        <f>D26/D27</f>
        <v>9.2816593886462844</v>
      </c>
      <c r="F26" s="8">
        <f>FDIST(E26,C26,C27)</f>
        <v>2.124757136842246E-3</v>
      </c>
      <c r="G26" s="54">
        <f>FINV(B22,C26,C27)</f>
        <v>3.4780496907652281</v>
      </c>
      <c r="I26"/>
      <c r="J26"/>
      <c r="K26"/>
      <c r="L26"/>
      <c r="M26"/>
    </row>
    <row r="27" spans="1:17" x14ac:dyDescent="0.3">
      <c r="A27" s="26" t="s">
        <v>38</v>
      </c>
      <c r="B27" s="9">
        <f>SUM(B18:F18)*(B16-1)</f>
        <v>76.333333333333357</v>
      </c>
      <c r="C27" s="3">
        <f>C28-C26</f>
        <v>10</v>
      </c>
      <c r="D27" s="10">
        <f>B27/C27</f>
        <v>7.6333333333333355</v>
      </c>
      <c r="E27" s="10"/>
      <c r="F27" s="11"/>
      <c r="G27" s="11"/>
      <c r="I27"/>
      <c r="J27"/>
      <c r="K27"/>
      <c r="L27"/>
      <c r="M27"/>
    </row>
    <row r="28" spans="1:17" x14ac:dyDescent="0.3">
      <c r="A28" s="26" t="s">
        <v>39</v>
      </c>
      <c r="B28" s="12">
        <f>VAR(B5:F7)*C28</f>
        <v>359.73333333333335</v>
      </c>
      <c r="C28" s="13">
        <f>COUNT(B5:F7)-1</f>
        <v>14</v>
      </c>
      <c r="D28" s="13"/>
      <c r="E28" s="13"/>
      <c r="F28" s="14"/>
      <c r="G28" s="11"/>
      <c r="I28" t="s">
        <v>53</v>
      </c>
      <c r="J28"/>
      <c r="K28"/>
      <c r="L28"/>
      <c r="M28"/>
    </row>
    <row r="29" spans="1:17" x14ac:dyDescent="0.3">
      <c r="A29" s="24"/>
      <c r="G29" s="11"/>
    </row>
    <row r="30" spans="1:17" x14ac:dyDescent="0.3">
      <c r="A30" s="38" t="s">
        <v>40</v>
      </c>
      <c r="B30" s="71" t="str">
        <f>IF(F26&lt;=B22,"Reject null hypothesis", "Fail to reject null hypothesis")</f>
        <v>Reject null hypothesis</v>
      </c>
      <c r="C30" s="72"/>
      <c r="D30" s="72"/>
      <c r="E30" s="72"/>
      <c r="F30" s="72"/>
      <c r="G30" s="11"/>
    </row>
    <row r="31" spans="1:17" x14ac:dyDescent="0.3">
      <c r="A31" s="38" t="s">
        <v>41</v>
      </c>
      <c r="B31" s="71" t="str">
        <f>IF(B30="Reject null hypothesis","Surface treatments have a significant effect on contact angle.","Surface treatments do not have a significant effect on contact angle.")</f>
        <v>Surface treatments have a significant effect on contact angle.</v>
      </c>
      <c r="C31" s="72"/>
      <c r="D31" s="72"/>
      <c r="E31" s="72"/>
      <c r="F31" s="72"/>
      <c r="G31" s="11"/>
    </row>
    <row r="32" spans="1:17" x14ac:dyDescent="0.3">
      <c r="A32" s="39"/>
      <c r="B32" s="40"/>
      <c r="C32" s="13"/>
      <c r="D32" s="13"/>
      <c r="E32" s="13"/>
      <c r="F32" s="13"/>
      <c r="G32" s="14"/>
    </row>
    <row r="34" spans="1:13" x14ac:dyDescent="0.3">
      <c r="A34" s="2" t="s">
        <v>42</v>
      </c>
      <c r="B34" s="37" t="s">
        <v>43</v>
      </c>
    </row>
    <row r="35" spans="1:13" x14ac:dyDescent="0.3">
      <c r="A35" s="15" t="s">
        <v>44</v>
      </c>
      <c r="B35" s="16"/>
      <c r="C35" s="16"/>
      <c r="D35" s="16"/>
      <c r="E35" s="16"/>
      <c r="F35" s="16"/>
      <c r="G35" s="17"/>
    </row>
    <row r="36" spans="1:13" x14ac:dyDescent="0.3">
      <c r="A36" s="18" t="s">
        <v>45</v>
      </c>
      <c r="B36" s="20"/>
      <c r="C36" s="20"/>
      <c r="D36" s="20"/>
      <c r="E36" s="20"/>
      <c r="F36" s="20"/>
      <c r="G36" s="21"/>
    </row>
    <row r="37" spans="1:13" x14ac:dyDescent="0.3">
      <c r="A37" s="36" t="s">
        <v>46</v>
      </c>
      <c r="B37" s="37">
        <v>4.6539999999999999</v>
      </c>
      <c r="G37" s="11"/>
      <c r="I37" t="s">
        <v>54</v>
      </c>
      <c r="J37"/>
      <c r="K37"/>
      <c r="L37"/>
      <c r="M37"/>
    </row>
    <row r="38" spans="1:13" x14ac:dyDescent="0.3">
      <c r="A38" s="24"/>
      <c r="B38" s="4" t="str">
        <f>B$4</f>
        <v>Clean</v>
      </c>
      <c r="C38" s="4" t="str">
        <f t="shared" ref="C38:F38" si="1">C$4</f>
        <v>Anti-Fog</v>
      </c>
      <c r="D38" s="4" t="str">
        <f t="shared" si="1"/>
        <v>Repllent</v>
      </c>
      <c r="E38" s="4" t="str">
        <f t="shared" si="1"/>
        <v>Etched</v>
      </c>
      <c r="F38" s="4" t="str">
        <f t="shared" si="1"/>
        <v>Sanded</v>
      </c>
      <c r="G38" s="11"/>
      <c r="I38"/>
      <c r="J38"/>
      <c r="K38"/>
      <c r="L38"/>
      <c r="M38"/>
    </row>
    <row r="39" spans="1:13" x14ac:dyDescent="0.3">
      <c r="A39" s="41" t="str">
        <f>B38</f>
        <v>Clean</v>
      </c>
      <c r="B39" s="42"/>
      <c r="C39" s="43" t="b">
        <f>ABS($B17-C17)&gt;=4.6543*SQRT($D$27/$B$16)</f>
        <v>1</v>
      </c>
      <c r="D39" s="43" t="b">
        <f>ABS($B17-D17)&gt;=4.654*SQRT($D$27/$B$16)</f>
        <v>0</v>
      </c>
      <c r="E39" s="43" t="b">
        <f>ABS($B17-E17)&gt;=4.654*SQRT($D$27/$B$16)</f>
        <v>0</v>
      </c>
      <c r="F39" s="44" t="b">
        <f>ABS($B17-F17)&gt;=4.654*SQRT($D$27/$B$16)</f>
        <v>1</v>
      </c>
      <c r="G39" s="11"/>
      <c r="I39" t="s">
        <v>55</v>
      </c>
      <c r="J39"/>
      <c r="K39"/>
      <c r="L39"/>
      <c r="M39"/>
    </row>
    <row r="40" spans="1:13" x14ac:dyDescent="0.3">
      <c r="A40" s="41" t="str">
        <f>C38</f>
        <v>Anti-Fog</v>
      </c>
      <c r="B40" s="45"/>
      <c r="C40" s="46"/>
      <c r="D40" s="47" t="b">
        <f>ABS($C17-D17)&gt;=4.654*SQRT($D$27/$B$16)</f>
        <v>1</v>
      </c>
      <c r="E40" s="47" t="b">
        <f>ABS($C17-E17)&gt;=4.654*SQRT($D$27/$B$16)</f>
        <v>0</v>
      </c>
      <c r="F40" s="48" t="b">
        <f>ABS($C17-F17)&gt;=4.654*SQRT($D$27/$B$16)</f>
        <v>0</v>
      </c>
      <c r="G40" s="11"/>
      <c r="I40" t="s">
        <v>56</v>
      </c>
      <c r="J40"/>
      <c r="K40"/>
      <c r="L40"/>
      <c r="M40"/>
    </row>
    <row r="41" spans="1:13" x14ac:dyDescent="0.3">
      <c r="A41" s="41" t="str">
        <f>D38</f>
        <v>Repllent</v>
      </c>
      <c r="B41" s="45"/>
      <c r="C41" s="49"/>
      <c r="D41" s="46"/>
      <c r="E41" s="47" t="b">
        <f>ABS($D17-E17)&gt;=4.654*SQRT($D$27/$B$16)</f>
        <v>0</v>
      </c>
      <c r="F41" s="48" t="b">
        <f>ABS($D17-F17)&gt;=4.654*SQRT($D$27/$B$16)</f>
        <v>1</v>
      </c>
      <c r="G41" s="11"/>
      <c r="I41"/>
      <c r="J41"/>
      <c r="K41"/>
      <c r="L41"/>
      <c r="M41"/>
    </row>
    <row r="42" spans="1:13" x14ac:dyDescent="0.3">
      <c r="A42" s="41" t="str">
        <f>E38</f>
        <v>Etched</v>
      </c>
      <c r="B42" s="45"/>
      <c r="C42" s="49"/>
      <c r="D42" s="49"/>
      <c r="E42" s="46"/>
      <c r="F42" s="48" t="b">
        <f>ABS($E17-F17)&gt;=4.654*SQRT($D$27/$B$16)</f>
        <v>0</v>
      </c>
      <c r="G42" s="11"/>
      <c r="I42" t="s">
        <v>57</v>
      </c>
      <c r="J42"/>
      <c r="K42"/>
      <c r="L42"/>
      <c r="M42"/>
    </row>
    <row r="43" spans="1:13" x14ac:dyDescent="0.3">
      <c r="A43" s="41" t="str">
        <f>F38</f>
        <v>Sanded</v>
      </c>
      <c r="B43" s="50"/>
      <c r="C43" s="51"/>
      <c r="D43" s="51"/>
      <c r="E43" s="51"/>
      <c r="F43" s="52"/>
      <c r="G43" s="11"/>
      <c r="I43" t="s">
        <v>58</v>
      </c>
      <c r="J43"/>
      <c r="K43"/>
      <c r="L43"/>
      <c r="M43"/>
    </row>
    <row r="44" spans="1:13" x14ac:dyDescent="0.3">
      <c r="A44" s="53"/>
      <c r="B44" s="13"/>
      <c r="C44" s="13"/>
      <c r="D44" s="13"/>
      <c r="E44" s="13"/>
      <c r="F44" s="13"/>
      <c r="G44" s="14"/>
      <c r="I44" t="s">
        <v>59</v>
      </c>
      <c r="J44"/>
      <c r="K44"/>
      <c r="L44"/>
      <c r="M44"/>
    </row>
  </sheetData>
  <mergeCells count="2">
    <mergeCell ref="B31:F31"/>
    <mergeCell ref="B30:F30"/>
  </mergeCells>
  <conditionalFormatting sqref="B30:F30">
    <cfRule type="cellIs" dxfId="2" priority="2" operator="equal">
      <formula>"Reject null hypothesis"</formula>
    </cfRule>
  </conditionalFormatting>
  <conditionalFormatting sqref="B31:F31">
    <cfRule type="cellIs" dxfId="1" priority="1" operator="equal">
      <formula>"Surface treatments have a significant effect on contact angle."</formula>
    </cfRule>
  </conditionalFormatting>
  <conditionalFormatting sqref="C39 D39:D40 E39:E41 F39:F42">
    <cfRule type="cellIs" dxfId="0" priority="3" operator="equal">
      <formula>TRUE</formula>
    </cfRule>
  </conditionalFormatting>
  <printOptions horizontalCentered="1" verticalCentered="1"/>
  <pageMargins left="0.25" right="0.25" top="0.5" bottom="0.5" header="0.3" footer="0.3"/>
  <pageSetup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Across Materials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Sypabekova, Dr. Marzhan</cp:lastModifiedBy>
  <cp:revision/>
  <dcterms:created xsi:type="dcterms:W3CDTF">2016-01-18T17:55:12Z</dcterms:created>
  <dcterms:modified xsi:type="dcterms:W3CDTF">2026-01-14T01:01:53Z</dcterms:modified>
  <cp:category/>
  <cp:contentStatus/>
</cp:coreProperties>
</file>