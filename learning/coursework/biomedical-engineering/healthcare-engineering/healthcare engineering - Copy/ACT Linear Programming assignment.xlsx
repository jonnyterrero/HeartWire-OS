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Terr\Downloads\"/>
    </mc:Choice>
  </mc:AlternateContent>
  <xr:revisionPtr revIDLastSave="0" documentId="8_{A8E9C0C0-649E-439F-8B86-74F890EC6987}" xr6:coauthVersionLast="47" xr6:coauthVersionMax="47" xr10:uidLastSave="{00000000-0000-0000-0000-000000000000}"/>
  <bookViews>
    <workbookView xWindow="3036" yWindow="3036" windowWidth="17280" windowHeight="8328" activeTab="1" xr2:uid="{A0F34791-0C89-441E-85AF-DB9719BBEE8D}"/>
  </bookViews>
  <sheets>
    <sheet name="sample 1" sheetId="1" r:id="rId1"/>
    <sheet name="ACT Linear Programming" sheetId="3" r:id="rId2"/>
  </sheets>
  <definedNames>
    <definedName name="solver_adj" localSheetId="1" hidden="1">'ACT Linear Programming'!$A$8:$C$8</definedName>
    <definedName name="solver_adj" localSheetId="0" hidden="1">'sample 1'!$B$17:$C$17</definedName>
    <definedName name="solver_cvg" localSheetId="1" hidden="1">0.0001</definedName>
    <definedName name="solver_cvg" localSheetId="0" hidden="1">0.0001</definedName>
    <definedName name="solver_drv" localSheetId="1" hidden="1">1</definedName>
    <definedName name="solver_drv" localSheetId="0" hidden="1">1</definedName>
    <definedName name="solver_eng" localSheetId="1" hidden="1">2</definedName>
    <definedName name="solver_eng" localSheetId="0" hidden="1">1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lhs1" localSheetId="1" hidden="1">'ACT Linear Programming'!$A$13</definedName>
    <definedName name="solver_lhs1" localSheetId="0" hidden="1">'sample 1'!$E$10</definedName>
    <definedName name="solver_lhs2" localSheetId="1" hidden="1">'ACT Linear Programming'!$E$3</definedName>
    <definedName name="solver_lhs2" localSheetId="0" hidden="1">'sample 1'!$E$13</definedName>
    <definedName name="solver_lhs3" localSheetId="1" hidden="1">'ACT Linear Programming'!$E$4</definedName>
    <definedName name="solver_lhs3" localSheetId="0" hidden="1">'sample 1'!$E$9</definedName>
    <definedName name="solver_lhs4" localSheetId="1" hidden="1">'ACT Linear Programming'!$E$5</definedName>
    <definedName name="solver_lhs5" localSheetId="1" hidden="1">'ACT Linear Programming'!$E$6</definedName>
    <definedName name="solver_lhs6" localSheetId="1" hidden="1">'ACT Linear Programming'!$E$6</definedName>
    <definedName name="solver_lhs7" localSheetId="1" hidden="1">'ACT Linear Programming'!$E$6</definedName>
    <definedName name="solver_lhs8" localSheetId="1" hidden="1">'ACT Linear Programming'!$E$6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5</definedName>
    <definedName name="solver_num" localSheetId="0" hidden="1">3</definedName>
    <definedName name="solver_nwt" localSheetId="1" hidden="1">1</definedName>
    <definedName name="solver_nwt" localSheetId="0" hidden="1">1</definedName>
    <definedName name="solver_opt" localSheetId="1" hidden="1">'ACT Linear Programming'!$D$8</definedName>
    <definedName name="solver_opt" localSheetId="0" hidden="1">'sample 1'!$E$15</definedName>
    <definedName name="solver_pre" localSheetId="1" hidden="1">0.000001</definedName>
    <definedName name="solver_pre" localSheetId="0" hidden="1">0.000001</definedName>
    <definedName name="solver_rbv" localSheetId="1" hidden="1">1</definedName>
    <definedName name="solver_rbv" localSheetId="0" hidden="1">1</definedName>
    <definedName name="solver_rel1" localSheetId="1" hidden="1">2</definedName>
    <definedName name="solver_rel1" localSheetId="0" hidden="1">1</definedName>
    <definedName name="solver_rel2" localSheetId="1" hidden="1">1</definedName>
    <definedName name="solver_rel2" localSheetId="0" hidden="1">1</definedName>
    <definedName name="solver_rel3" localSheetId="1" hidden="1">1</definedName>
    <definedName name="solver_rel3" localSheetId="0" hidden="1">1</definedName>
    <definedName name="solver_rel4" localSheetId="1" hidden="1">1</definedName>
    <definedName name="solver_rel5" localSheetId="1" hidden="1">1</definedName>
    <definedName name="solver_rel6" localSheetId="1" hidden="1">1</definedName>
    <definedName name="solver_rel7" localSheetId="1" hidden="1">1</definedName>
    <definedName name="solver_rel8" localSheetId="1" hidden="1">1</definedName>
    <definedName name="solver_rhs1" localSheetId="1" hidden="1">1</definedName>
    <definedName name="solver_rhs1" localSheetId="0" hidden="1">'sample 1'!$G$10</definedName>
    <definedName name="solver_rhs2" localSheetId="1" hidden="1">'ACT Linear Programming'!$B$11</definedName>
    <definedName name="solver_rhs2" localSheetId="0" hidden="1">'sample 1'!$G$13</definedName>
    <definedName name="solver_rhs3" localSheetId="1" hidden="1">'ACT Linear Programming'!$C$11</definedName>
    <definedName name="solver_rhs3" localSheetId="0" hidden="1">'sample 1'!$G$9</definedName>
    <definedName name="solver_rhs4" localSheetId="1" hidden="1">'ACT Linear Programming'!$D$11</definedName>
    <definedName name="solver_rhs5" localSheetId="1" hidden="1">'ACT Linear Programming'!$E$11</definedName>
    <definedName name="solver_rhs6" localSheetId="1" hidden="1">'ACT Linear Programming'!$E$11</definedName>
    <definedName name="solver_rhs7" localSheetId="1" hidden="1">'ACT Linear Programming'!$E$11</definedName>
    <definedName name="solver_rhs8" localSheetId="1" hidden="1">'ACT Linear Programming'!$E$11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1</definedName>
    <definedName name="solver_scl" localSheetId="0" hidden="1">1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2</definedName>
    <definedName name="solver_typ" localSheetId="0" hidden="1">1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C11" i="3"/>
  <c r="D11" i="3"/>
  <c r="E11" i="3"/>
  <c r="A13" i="3" l="1"/>
  <c r="D8" i="3"/>
  <c r="H13" i="1"/>
  <c r="H10" i="1"/>
  <c r="E15" i="1"/>
  <c r="E13" i="1"/>
  <c r="E10" i="1"/>
  <c r="E9" i="1"/>
  <c r="H9" i="1" s="1"/>
</calcChain>
</file>

<file path=xl/sharedStrings.xml><?xml version="1.0" encoding="utf-8"?>
<sst xmlns="http://schemas.openxmlformats.org/spreadsheetml/2006/main" count="41" uniqueCount="39">
  <si>
    <t>Defined variables</t>
  </si>
  <si>
    <t>M= # of Mamothwalkers</t>
  </si>
  <si>
    <t>G= # of Galaticasssits</t>
  </si>
  <si>
    <t>Objective function:</t>
  </si>
  <si>
    <t>Maximize--&gt; Profit = ($100*M) + ($50*G)</t>
  </si>
  <si>
    <t>Subject to:</t>
  </si>
  <si>
    <t>M</t>
  </si>
  <si>
    <t>G</t>
  </si>
  <si>
    <t>Limits</t>
  </si>
  <si>
    <t xml:space="preserve">available </t>
  </si>
  <si>
    <t>slack</t>
  </si>
  <si>
    <t>Maufacturing Labor (hours/unit)</t>
  </si>
  <si>
    <t>&lt;=</t>
  </si>
  <si>
    <t>Inspection labor (hours/unit)</t>
  </si>
  <si>
    <t>Marketing (Maximum # of units)</t>
  </si>
  <si>
    <t>Profit ($/unit)</t>
  </si>
  <si>
    <t>optimal production (# of units)</t>
  </si>
  <si>
    <t>Grain A</t>
  </si>
  <si>
    <t>Grain B</t>
  </si>
  <si>
    <t>Grain C</t>
  </si>
  <si>
    <t>RDA (per lb)</t>
  </si>
  <si>
    <t>Cost ($/lb)</t>
  </si>
  <si>
    <t>Protein (units/lb)</t>
  </si>
  <si>
    <t xml:space="preserve">all of the data in the RDA column is multiplied by 8 serving per pound because 16oz/lb  /  2oz/serving </t>
  </si>
  <si>
    <t>Jonathan Terrero</t>
  </si>
  <si>
    <t>Riboflavin (units/lb)</t>
  </si>
  <si>
    <t>Yug Patel</t>
  </si>
  <si>
    <t>Phosphorus (units/lb)</t>
  </si>
  <si>
    <t>Magnesium (units/lb)</t>
  </si>
  <si>
    <t>A</t>
  </si>
  <si>
    <t>B</t>
  </si>
  <si>
    <t>C</t>
  </si>
  <si>
    <t>total costs</t>
  </si>
  <si>
    <t>contraints</t>
  </si>
  <si>
    <t>protein</t>
  </si>
  <si>
    <t>riboflavin</t>
  </si>
  <si>
    <t>phosphorus</t>
  </si>
  <si>
    <t>magnesium</t>
  </si>
  <si>
    <t>in 1 lb blend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</si>
</sst>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2" xfId="0" applyFill="1" applyBorder="1"/>
    <xf numFmtId="0" fontId="0" fillId="0" borderId="2" xfId="0" applyBorder="1"/>
    <xf numFmtId="6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0" fillId="0" borderId="1" xfId="0" applyBorder="1"/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40718-4812-47FC-8056-2C1D05F7E557}">
  <dimension ref="A1:H17"/>
  <sheetViews>
    <sheetView workbookViewId="0">
      <selection activeCell="O25" sqref="O25"/>
    </sheetView>
  </sheetViews>
  <sheetFormatPr defaultRowHeight="14.4" x14ac:dyDescent="0.3"/>
  <cols>
    <col min="1" max="1" width="32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3" spans="1:8" x14ac:dyDescent="0.3">
      <c r="A3" t="s">
        <v>2</v>
      </c>
    </row>
    <row r="6" spans="1:8" x14ac:dyDescent="0.3">
      <c r="A6" t="s">
        <v>3</v>
      </c>
      <c r="B6" t="s">
        <v>4</v>
      </c>
    </row>
    <row r="8" spans="1:8" x14ac:dyDescent="0.3">
      <c r="A8" t="s">
        <v>5</v>
      </c>
      <c r="B8" t="s">
        <v>6</v>
      </c>
      <c r="C8" t="s">
        <v>7</v>
      </c>
      <c r="E8" t="s">
        <v>8</v>
      </c>
      <c r="G8" t="s">
        <v>9</v>
      </c>
      <c r="H8" t="s">
        <v>10</v>
      </c>
    </row>
    <row r="9" spans="1:8" x14ac:dyDescent="0.3">
      <c r="A9" t="s">
        <v>11</v>
      </c>
      <c r="B9">
        <v>120</v>
      </c>
      <c r="C9">
        <v>40</v>
      </c>
      <c r="E9" s="1">
        <f>SUMPRODUCT(B9:C9,$B$17:$C$17)</f>
        <v>600.00000000000011</v>
      </c>
      <c r="F9" t="s">
        <v>12</v>
      </c>
      <c r="G9">
        <v>600</v>
      </c>
      <c r="H9">
        <f>G9-E9</f>
        <v>0</v>
      </c>
    </row>
    <row r="10" spans="1:8" x14ac:dyDescent="0.3">
      <c r="A10" t="s">
        <v>13</v>
      </c>
      <c r="B10">
        <v>40</v>
      </c>
      <c r="C10">
        <v>80</v>
      </c>
      <c r="E10" s="1">
        <f>SUMPRODUCT(B10:C10,$B$17:$C$17)</f>
        <v>400</v>
      </c>
      <c r="F10" t="s">
        <v>12</v>
      </c>
      <c r="G10">
        <v>400</v>
      </c>
      <c r="H10">
        <f>G10-E10</f>
        <v>0</v>
      </c>
    </row>
    <row r="13" spans="1:8" x14ac:dyDescent="0.3">
      <c r="A13" t="s">
        <v>14</v>
      </c>
      <c r="B13">
        <v>0</v>
      </c>
      <c r="C13">
        <v>1</v>
      </c>
      <c r="E13" s="1">
        <f t="shared" ref="E13:E15" si="0">SUMPRODUCT(B13:C13,$B$17:$C$17)</f>
        <v>2.9999999999999996</v>
      </c>
      <c r="F13" t="s">
        <v>12</v>
      </c>
      <c r="G13">
        <v>4</v>
      </c>
      <c r="H13">
        <f t="shared" ref="H13" si="1">G13-E13</f>
        <v>1.0000000000000004</v>
      </c>
    </row>
    <row r="15" spans="1:8" x14ac:dyDescent="0.3">
      <c r="A15" t="s">
        <v>15</v>
      </c>
      <c r="B15" s="3">
        <v>100</v>
      </c>
      <c r="C15" s="3">
        <v>50</v>
      </c>
      <c r="E15" s="1">
        <f t="shared" si="0"/>
        <v>550.00000000000011</v>
      </c>
    </row>
    <row r="17" spans="1:3" x14ac:dyDescent="0.3">
      <c r="A17" t="s">
        <v>16</v>
      </c>
      <c r="B17">
        <v>4.0000000000000009</v>
      </c>
      <c r="C17">
        <v>2.9999999999999996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249FC-92AA-4D71-972C-500F4C71F841}">
  <dimension ref="A1:L16"/>
  <sheetViews>
    <sheetView tabSelected="1" topLeftCell="A3" zoomScale="97" workbookViewId="0">
      <selection activeCell="L5" sqref="L5"/>
    </sheetView>
  </sheetViews>
  <sheetFormatPr defaultRowHeight="14.4" x14ac:dyDescent="0.3"/>
  <cols>
    <col min="1" max="1" width="12.109375" customWidth="1"/>
    <col min="2" max="2" width="8.6640625" customWidth="1"/>
    <col min="3" max="3" width="10" customWidth="1"/>
    <col min="4" max="4" width="12.5546875" customWidth="1"/>
    <col min="5" max="5" width="11.88671875" customWidth="1"/>
    <col min="6" max="6" width="10.88671875" customWidth="1"/>
  </cols>
  <sheetData>
    <row r="1" spans="1:12" x14ac:dyDescent="0.3">
      <c r="A1" s="13"/>
      <c r="B1" s="13" t="s">
        <v>17</v>
      </c>
      <c r="C1" s="13" t="s">
        <v>18</v>
      </c>
      <c r="D1" s="13" t="s">
        <v>19</v>
      </c>
      <c r="E1" s="13" t="s">
        <v>20</v>
      </c>
      <c r="F1" s="4"/>
    </row>
    <row r="2" spans="1:12" x14ac:dyDescent="0.3">
      <c r="A2" s="6" t="s">
        <v>21</v>
      </c>
      <c r="B2" s="6">
        <v>0.33</v>
      </c>
      <c r="C2" s="6">
        <v>0.47</v>
      </c>
      <c r="D2" s="6">
        <v>0.38</v>
      </c>
      <c r="E2" s="6"/>
      <c r="F2" s="5"/>
    </row>
    <row r="3" spans="1:12" ht="130.5" customHeight="1" x14ac:dyDescent="0.3">
      <c r="A3" s="6" t="s">
        <v>22</v>
      </c>
      <c r="B3" s="6">
        <v>22</v>
      </c>
      <c r="C3" s="6">
        <v>28</v>
      </c>
      <c r="D3" s="6">
        <v>21</v>
      </c>
      <c r="E3" s="6">
        <v>24</v>
      </c>
      <c r="F3" s="14" t="s">
        <v>23</v>
      </c>
      <c r="G3" s="14"/>
      <c r="H3" s="14"/>
      <c r="L3" t="s">
        <v>24</v>
      </c>
    </row>
    <row r="4" spans="1:12" ht="28.8" x14ac:dyDescent="0.3">
      <c r="A4" s="6" t="s">
        <v>25</v>
      </c>
      <c r="B4" s="6">
        <v>16</v>
      </c>
      <c r="C4" s="6">
        <v>14</v>
      </c>
      <c r="D4" s="6">
        <v>25</v>
      </c>
      <c r="E4" s="6">
        <v>16</v>
      </c>
      <c r="F4" s="14"/>
      <c r="G4" s="14"/>
      <c r="H4" s="14"/>
      <c r="L4" t="s">
        <v>26</v>
      </c>
    </row>
    <row r="5" spans="1:12" ht="28.8" x14ac:dyDescent="0.3">
      <c r="A5" s="6" t="s">
        <v>27</v>
      </c>
      <c r="B5" s="6">
        <v>8</v>
      </c>
      <c r="C5" s="6">
        <v>7</v>
      </c>
      <c r="D5" s="6">
        <v>9</v>
      </c>
      <c r="E5" s="6">
        <v>8</v>
      </c>
      <c r="F5" s="14"/>
      <c r="G5" s="14"/>
      <c r="H5" s="14"/>
    </row>
    <row r="6" spans="1:12" ht="28.8" x14ac:dyDescent="0.3">
      <c r="A6" s="6" t="s">
        <v>28</v>
      </c>
      <c r="B6" s="6">
        <v>5</v>
      </c>
      <c r="C6" s="6">
        <v>0</v>
      </c>
      <c r="D6" s="6">
        <v>6</v>
      </c>
      <c r="E6" s="6">
        <v>3.4</v>
      </c>
    </row>
    <row r="7" spans="1:12" x14ac:dyDescent="0.3">
      <c r="A7" s="10" t="s">
        <v>29</v>
      </c>
      <c r="B7" s="10" t="s">
        <v>30</v>
      </c>
      <c r="C7" s="11" t="s">
        <v>31</v>
      </c>
      <c r="D7" s="12" t="s">
        <v>32</v>
      </c>
      <c r="E7" s="5"/>
    </row>
    <row r="8" spans="1:12" ht="15" thickBot="1" x14ac:dyDescent="0.35">
      <c r="A8" s="7">
        <v>0.19999999999999701</v>
      </c>
      <c r="B8" s="7">
        <v>0.40000000000000052</v>
      </c>
      <c r="C8" s="8">
        <v>0.40000000000000274</v>
      </c>
      <c r="D8" s="9">
        <f>SUMPRODUCT(B2:D2,A8:C8)</f>
        <v>0.40600000000000025</v>
      </c>
    </row>
    <row r="9" spans="1:12" x14ac:dyDescent="0.3">
      <c r="A9" s="5"/>
    </row>
    <row r="10" spans="1:12" x14ac:dyDescent="0.3">
      <c r="A10" s="6" t="s">
        <v>33</v>
      </c>
      <c r="B10" s="2" t="s">
        <v>34</v>
      </c>
      <c r="C10" s="2" t="s">
        <v>35</v>
      </c>
      <c r="D10" s="2" t="s">
        <v>36</v>
      </c>
      <c r="E10" s="2" t="s">
        <v>37</v>
      </c>
    </row>
    <row r="11" spans="1:12" x14ac:dyDescent="0.3">
      <c r="A11" s="6"/>
      <c r="B11" s="2">
        <f>SUMPRODUCT(B3:D3,A8:C8)</f>
        <v>24.000000000000007</v>
      </c>
      <c r="C11" s="2">
        <f>SUMPRODUCT(B4:D4,A8:C8)</f>
        <v>18.800000000000029</v>
      </c>
      <c r="D11" s="2">
        <f>SUMPRODUCT(B5:D5,A8:C8)</f>
        <v>8.0000000000000036</v>
      </c>
      <c r="E11" s="2">
        <f>SUMPRODUCT(B6:D6,A8:C8)</f>
        <v>3.4000000000000012</v>
      </c>
    </row>
    <row r="12" spans="1:12" x14ac:dyDescent="0.3">
      <c r="A12" s="6" t="s">
        <v>38</v>
      </c>
    </row>
    <row r="13" spans="1:12" x14ac:dyDescent="0.3">
      <c r="A13" s="6">
        <f>SUM(A8:C8)</f>
        <v>1.0000000000000002</v>
      </c>
    </row>
    <row r="14" spans="1:12" x14ac:dyDescent="0.3">
      <c r="A14" s="5"/>
    </row>
    <row r="15" spans="1:12" x14ac:dyDescent="0.3">
      <c r="A15" s="5"/>
    </row>
    <row r="16" spans="1:12" x14ac:dyDescent="0.3">
      <c r="A16" s="5"/>
    </row>
  </sheetData>
  <mergeCells count="1">
    <mergeCell ref="F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638E7AB944F488484730A46BCA28B" ma:contentTypeVersion="11" ma:contentTypeDescription="Create a new document." ma:contentTypeScope="" ma:versionID="9ab31dbad7c4736816c520a1ff74d7e8">
  <xsd:schema xmlns:xsd="http://www.w3.org/2001/XMLSchema" xmlns:xs="http://www.w3.org/2001/XMLSchema" xmlns:p="http://schemas.microsoft.com/office/2006/metadata/properties" xmlns:ns3="95b29401-bbde-43de-9414-e5a81d17aecd" targetNamespace="http://schemas.microsoft.com/office/2006/metadata/properties" ma:root="true" ma:fieldsID="c1a14a9549adaa573e797760d52529c6" ns3:_="">
    <xsd:import namespace="95b29401-bbde-43de-9414-e5a81d17aec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b29401-bbde-43de-9414-e5a81d17aec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b29401-bbde-43de-9414-e5a81d17aecd" xsi:nil="true"/>
  </documentManagement>
</p:properties>
</file>

<file path=customXml/itemProps1.xml><?xml version="1.0" encoding="utf-8"?>
<ds:datastoreItem xmlns:ds="http://schemas.openxmlformats.org/officeDocument/2006/customXml" ds:itemID="{0164B278-55ED-40F8-9570-5352EAD972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b29401-bbde-43de-9414-e5a81d17ae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B91CE0-4EBB-4ED5-953F-1EA8845A3E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A28B86-1B5C-4FA0-A88F-D052DDB6EFD2}">
  <ds:schemaRefs>
    <ds:schemaRef ds:uri="http://schemas.microsoft.com/office/2006/metadata/properties"/>
    <ds:schemaRef ds:uri="http://schemas.microsoft.com/office/infopath/2007/PartnerControls"/>
    <ds:schemaRef ds:uri="95b29401-bbde-43de-9414-e5a81d17aecd"/>
  </ds:schemaRefs>
</ds:datastoreItem>
</file>

<file path=docMetadata/LabelInfo.xml><?xml version="1.0" encoding="utf-8"?>
<clbl:labelList xmlns:clbl="http://schemas.microsoft.com/office/2020/mipLabelMetadata">
  <clbl:label id="{f7a5a4ef-4ffa-4c80-bfb3-c12e28872099}" enabled="0" method="" siteId="{f7a5a4ef-4ffa-4c80-bfb3-c12e2887209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1</vt:lpstr>
      <vt:lpstr>ACT Linear Programming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Yug Patel</dc:creator>
  <cp:keywords/>
  <dc:description/>
  <cp:lastModifiedBy>Jonathan Terrero</cp:lastModifiedBy>
  <cp:revision/>
  <dcterms:created xsi:type="dcterms:W3CDTF">2025-09-08T13:11:19Z</dcterms:created>
  <dcterms:modified xsi:type="dcterms:W3CDTF">2025-09-15T13:56:21Z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0x0101004CA638E7AB944F488484730A46BCA28B</vt:lpwstr>
  </property>
</Properties>
</file>