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showInkAnnotation="0"/>
  <mc:AlternateContent xmlns:mc="http://schemas.openxmlformats.org/markup-compatibility/2006">
    <mc:Choice Requires="x15">
      <x15ac:absPath xmlns:x15ac="http://schemas.microsoft.com/office/spreadsheetml/2010/11/ac" url="C:\Users\JTerr\Downloads\"/>
    </mc:Choice>
  </mc:AlternateContent>
  <xr:revisionPtr revIDLastSave="0" documentId="8_{F8C9E459-748C-46B8-82F3-D007954805EE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Blood Pressure" sheetId="1" r:id="rId1"/>
    <sheet name="Hospital Stay" sheetId="2" r:id="rId2"/>
    <sheet name="Hospital Stay (Excel ANOVA)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B21" i="1" l="1"/>
  <c r="B20" i="1"/>
  <c r="F32" i="1" s="1" a="1"/>
  <c r="F32" i="1" s="1"/>
  <c r="B36" i="1" s="1"/>
  <c r="E33" i="1"/>
  <c r="E34" i="1"/>
  <c r="E32" i="1"/>
  <c r="D34" i="1"/>
  <c r="D33" i="1"/>
  <c r="D32" i="1"/>
  <c r="C34" i="1"/>
  <c r="C33" i="1"/>
  <c r="C32" i="1"/>
  <c r="B34" i="1" a="1"/>
  <c r="B34" i="1" s="1"/>
  <c r="B33" i="1"/>
  <c r="B32" i="1"/>
  <c r="C24" i="1"/>
  <c r="D24" i="1"/>
  <c r="B24" i="1"/>
  <c r="C21" i="1"/>
  <c r="D21" i="1"/>
  <c r="C23" i="1"/>
  <c r="D23" i="1"/>
  <c r="B23" i="1"/>
  <c r="C22" i="1"/>
  <c r="C43" i="1" s="1"/>
  <c r="D22" i="1"/>
  <c r="D43" i="1" s="1"/>
  <c r="B22" i="1"/>
  <c r="B43" i="1" s="1"/>
  <c r="D20" i="1"/>
  <c r="C20" i="1"/>
  <c r="E43" i="2"/>
  <c r="D43" i="2"/>
  <c r="C43" i="2"/>
  <c r="B43" i="2"/>
  <c r="B36" i="2"/>
  <c r="E44" i="2" l="1"/>
  <c r="A48" i="2" s="1"/>
  <c r="E19" i="2"/>
  <c r="D44" i="2"/>
  <c r="A47" i="2" s="1"/>
  <c r="C44" i="2"/>
  <c r="A46" i="2" s="1"/>
  <c r="B44" i="2"/>
  <c r="A45" i="2" s="1"/>
  <c r="D19" i="2"/>
  <c r="C19" i="2"/>
  <c r="B19" i="2"/>
  <c r="C19" i="1"/>
  <c r="C44" i="1"/>
  <c r="A46" i="1" s="1"/>
  <c r="D44" i="1"/>
  <c r="A47" i="1" s="1"/>
  <c r="B44" i="1"/>
  <c r="A45" i="1" s="1"/>
  <c r="B19" i="1"/>
  <c r="D19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Jiehong Liao</author>
    <author>Jie L</author>
  </authors>
  <commentList>
    <comment ref="B3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Jiehong Liao:</t>
        </r>
        <r>
          <rPr>
            <sz val="9"/>
            <color indexed="81"/>
            <rFont val="Tahoma"/>
            <family val="2"/>
          </rPr>
          <t xml:space="preserve">
Sum of Squares</t>
        </r>
      </text>
    </comment>
    <comment ref="C31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Jiehong Liao:</t>
        </r>
        <r>
          <rPr>
            <sz val="9"/>
            <color indexed="81"/>
            <rFont val="Tahoma"/>
            <family val="2"/>
          </rPr>
          <t xml:space="preserve">
Degrees of Freedom</t>
        </r>
      </text>
    </comment>
    <comment ref="D31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Jiehong Liao:</t>
        </r>
        <r>
          <rPr>
            <sz val="9"/>
            <color indexed="81"/>
            <rFont val="Tahoma"/>
            <family val="2"/>
          </rPr>
          <t xml:space="preserve">
Mean Square = SS / df</t>
        </r>
      </text>
    </comment>
    <comment ref="E31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Jiehong Liao:</t>
        </r>
        <r>
          <rPr>
            <sz val="9"/>
            <color indexed="81"/>
            <rFont val="Tahoma"/>
            <family val="2"/>
          </rPr>
          <t xml:space="preserve">
F-statistic = MS_B / MS_W</t>
        </r>
      </text>
    </comment>
    <comment ref="F31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Jiehong Liao:</t>
        </r>
        <r>
          <rPr>
            <sz val="9"/>
            <color indexed="81"/>
            <rFont val="Tahoma"/>
            <family val="2"/>
          </rPr>
          <t xml:space="preserve">
p-value</t>
        </r>
      </text>
    </comment>
    <comment ref="B32" authorId="1" shapeId="0" xr:uid="{D950928D-0D5B-4757-82A7-8EA8D2E2C374}">
      <text>
        <r>
          <rPr>
            <b/>
            <sz val="9"/>
            <color indexed="81"/>
            <rFont val="Tahoma"/>
            <family val="2"/>
          </rPr>
          <t>Jie L:</t>
        </r>
        <r>
          <rPr>
            <sz val="9"/>
            <color indexed="81"/>
            <rFont val="Tahoma"/>
            <family val="2"/>
          </rPr>
          <t xml:space="preserve">
SS_B = sum ( n_j*(Ybar_j - Ybarbar )^2</t>
        </r>
      </text>
    </comment>
    <comment ref="C32" authorId="1" shapeId="0" xr:uid="{00952615-31AB-4C22-BB60-1CE95AFC04E1}">
      <text>
        <r>
          <rPr>
            <b/>
            <sz val="9"/>
            <color indexed="81"/>
            <rFont val="Tahoma"/>
            <family val="2"/>
          </rPr>
          <t>Jie L:</t>
        </r>
        <r>
          <rPr>
            <sz val="9"/>
            <color indexed="81"/>
            <rFont val="Tahoma"/>
            <family val="2"/>
          </rPr>
          <t xml:space="preserve">
k - 1</t>
        </r>
      </text>
    </comment>
    <comment ref="D32" authorId="1" shapeId="0" xr:uid="{F2D39AB7-1FD0-4291-BF85-39C260F99C65}">
      <text>
        <r>
          <rPr>
            <b/>
            <sz val="9"/>
            <color indexed="81"/>
            <rFont val="Tahoma"/>
            <family val="2"/>
          </rPr>
          <t>Jie L:</t>
        </r>
        <r>
          <rPr>
            <sz val="9"/>
            <color indexed="81"/>
            <rFont val="Tahoma"/>
            <family val="2"/>
          </rPr>
          <t xml:space="preserve">
MS_B</t>
        </r>
      </text>
    </comment>
    <comment ref="E32" authorId="1" shapeId="0" xr:uid="{D5FBD979-0CEF-4B47-B19A-FE384BBFF257}">
      <text>
        <r>
          <rPr>
            <b/>
            <sz val="9"/>
            <color indexed="81"/>
            <rFont val="Tahoma"/>
            <family val="2"/>
          </rPr>
          <t>Jie L:</t>
        </r>
        <r>
          <rPr>
            <sz val="9"/>
            <color indexed="81"/>
            <rFont val="Tahoma"/>
            <family val="2"/>
          </rPr>
          <t xml:space="preserve">
F-statistic (or F-value)</t>
        </r>
      </text>
    </comment>
    <comment ref="F32" authorId="1" shapeId="0" xr:uid="{6AA52667-3E09-4538-9987-8CD707B4960C}">
      <text>
        <r>
          <rPr>
            <b/>
            <sz val="9"/>
            <color indexed="81"/>
            <rFont val="Tahoma"/>
            <family val="2"/>
          </rPr>
          <t>Jie L:</t>
        </r>
        <r>
          <rPr>
            <sz val="9"/>
            <color indexed="81"/>
            <rFont val="Tahoma"/>
            <family val="2"/>
          </rPr>
          <t xml:space="preserve">
p-value: use function FDIST to look up value</t>
        </r>
      </text>
    </comment>
    <comment ref="B33" authorId="1" shapeId="0" xr:uid="{3B7114CB-9A61-4B38-A90E-7DA10EE44ACF}">
      <text>
        <r>
          <rPr>
            <b/>
            <sz val="9"/>
            <color indexed="81"/>
            <rFont val="Tahoma"/>
            <family val="2"/>
          </rPr>
          <t>Jie L:</t>
        </r>
        <r>
          <rPr>
            <sz val="9"/>
            <color indexed="81"/>
            <rFont val="Tahoma"/>
            <family val="2"/>
          </rPr>
          <t xml:space="preserve">
SS_W = sum ( (n_j - 1)*var_j )</t>
        </r>
      </text>
    </comment>
    <comment ref="C33" authorId="1" shapeId="0" xr:uid="{8A4ACD3E-881B-4780-8FFF-696365AE0E94}">
      <text>
        <r>
          <rPr>
            <b/>
            <sz val="9"/>
            <color indexed="81"/>
            <rFont val="Tahoma"/>
            <family val="2"/>
          </rPr>
          <t>Jie L:</t>
        </r>
        <r>
          <rPr>
            <sz val="9"/>
            <color indexed="81"/>
            <rFont val="Tahoma"/>
            <family val="2"/>
          </rPr>
          <t xml:space="preserve">
sum ( n_j ) - k</t>
        </r>
      </text>
    </comment>
    <comment ref="D33" authorId="1" shapeId="0" xr:uid="{FE191EB9-A7D9-4474-8564-C2DC7832C09C}">
      <text>
        <r>
          <rPr>
            <b/>
            <sz val="9"/>
            <color indexed="81"/>
            <rFont val="Tahoma"/>
            <family val="2"/>
          </rPr>
          <t>Jie L:</t>
        </r>
        <r>
          <rPr>
            <sz val="9"/>
            <color indexed="81"/>
            <rFont val="Tahoma"/>
            <family val="2"/>
          </rPr>
          <t xml:space="preserve">
MS_W</t>
        </r>
      </text>
    </comment>
    <comment ref="B34" authorId="1" shapeId="0" xr:uid="{8F685E8E-DC24-4B3E-97CA-4174FDA809BD}">
      <text>
        <r>
          <rPr>
            <b/>
            <sz val="9"/>
            <color indexed="81"/>
            <rFont val="Tahoma"/>
            <family val="2"/>
          </rPr>
          <t>Jie L:</t>
        </r>
        <r>
          <rPr>
            <sz val="9"/>
            <color indexed="81"/>
            <rFont val="Tahoma"/>
            <family val="2"/>
          </rPr>
          <t xml:space="preserve">
SS_T = SS_B + SS_W</t>
        </r>
      </text>
    </comment>
    <comment ref="C34" authorId="1" shapeId="0" xr:uid="{0F51FE58-F1BF-44A8-A185-9C14568BFAAA}">
      <text>
        <r>
          <rPr>
            <b/>
            <sz val="9"/>
            <color indexed="81"/>
            <rFont val="Tahoma"/>
            <family val="2"/>
          </rPr>
          <t>Jie L:</t>
        </r>
        <r>
          <rPr>
            <sz val="9"/>
            <color indexed="81"/>
            <rFont val="Tahoma"/>
            <family val="2"/>
          </rPr>
          <t xml:space="preserve">
sum ( n_j ) - 1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Jiehong Liao</author>
    <author>Jie L</author>
  </authors>
  <commentList>
    <comment ref="B31" authorId="0" shapeId="0" xr:uid="{AC15D66F-9520-4F19-B445-41F03797337A}">
      <text>
        <r>
          <rPr>
            <b/>
            <sz val="9"/>
            <color indexed="81"/>
            <rFont val="Tahoma"/>
            <family val="2"/>
          </rPr>
          <t>Jiehong Liao:</t>
        </r>
        <r>
          <rPr>
            <sz val="9"/>
            <color indexed="81"/>
            <rFont val="Tahoma"/>
            <family val="2"/>
          </rPr>
          <t xml:space="preserve">
Sum of Squares</t>
        </r>
      </text>
    </comment>
    <comment ref="C31" authorId="0" shapeId="0" xr:uid="{ED5D2489-CC0F-484A-B4D3-F29040885306}">
      <text>
        <r>
          <rPr>
            <b/>
            <sz val="9"/>
            <color indexed="81"/>
            <rFont val="Tahoma"/>
            <family val="2"/>
          </rPr>
          <t>Jiehong Liao:</t>
        </r>
        <r>
          <rPr>
            <sz val="9"/>
            <color indexed="81"/>
            <rFont val="Tahoma"/>
            <family val="2"/>
          </rPr>
          <t xml:space="preserve">
Degrees of Freedom</t>
        </r>
      </text>
    </comment>
    <comment ref="D31" authorId="0" shapeId="0" xr:uid="{CB2C96EE-F587-4DBE-8688-8B73558046F9}">
      <text>
        <r>
          <rPr>
            <b/>
            <sz val="9"/>
            <color indexed="81"/>
            <rFont val="Tahoma"/>
            <family val="2"/>
          </rPr>
          <t>Jiehong Liao:</t>
        </r>
        <r>
          <rPr>
            <sz val="9"/>
            <color indexed="81"/>
            <rFont val="Tahoma"/>
            <family val="2"/>
          </rPr>
          <t xml:space="preserve">
Mean Square = SS / df</t>
        </r>
      </text>
    </comment>
    <comment ref="E31" authorId="0" shapeId="0" xr:uid="{171FCD32-55EA-48F4-8BE0-04DE027D919E}">
      <text>
        <r>
          <rPr>
            <b/>
            <sz val="9"/>
            <color indexed="81"/>
            <rFont val="Tahoma"/>
            <family val="2"/>
          </rPr>
          <t>Jiehong Liao:</t>
        </r>
        <r>
          <rPr>
            <sz val="9"/>
            <color indexed="81"/>
            <rFont val="Tahoma"/>
            <family val="2"/>
          </rPr>
          <t xml:space="preserve">
F-statistic = MS_B / MS_W</t>
        </r>
      </text>
    </comment>
    <comment ref="F31" authorId="0" shapeId="0" xr:uid="{095D562C-CAFB-47F2-8829-51AC2CD38432}">
      <text>
        <r>
          <rPr>
            <b/>
            <sz val="9"/>
            <color indexed="81"/>
            <rFont val="Tahoma"/>
            <family val="2"/>
          </rPr>
          <t>Jiehong Liao:</t>
        </r>
        <r>
          <rPr>
            <sz val="9"/>
            <color indexed="81"/>
            <rFont val="Tahoma"/>
            <family val="2"/>
          </rPr>
          <t xml:space="preserve">
p-value</t>
        </r>
      </text>
    </comment>
    <comment ref="B32" authorId="1" shapeId="0" xr:uid="{AEBB0AA2-BB8F-47C4-A907-061822D8F089}">
      <text>
        <r>
          <rPr>
            <b/>
            <sz val="9"/>
            <color indexed="81"/>
            <rFont val="Tahoma"/>
            <family val="2"/>
          </rPr>
          <t>Jie L:</t>
        </r>
        <r>
          <rPr>
            <sz val="9"/>
            <color indexed="81"/>
            <rFont val="Tahoma"/>
            <family val="2"/>
          </rPr>
          <t xml:space="preserve">
SS_B = sum ( n_j*(Ybar_j - Ybarbar )^2</t>
        </r>
      </text>
    </comment>
    <comment ref="C32" authorId="1" shapeId="0" xr:uid="{91400043-067E-4A84-AF0A-6BDA7DE558D0}">
      <text>
        <r>
          <rPr>
            <b/>
            <sz val="9"/>
            <color indexed="81"/>
            <rFont val="Tahoma"/>
            <family val="2"/>
          </rPr>
          <t>Jie L:</t>
        </r>
        <r>
          <rPr>
            <sz val="9"/>
            <color indexed="81"/>
            <rFont val="Tahoma"/>
            <family val="2"/>
          </rPr>
          <t xml:space="preserve">
k - 1</t>
        </r>
      </text>
    </comment>
    <comment ref="D32" authorId="1" shapeId="0" xr:uid="{4132EF54-23D3-41ED-BCD0-BD9E7900097B}">
      <text>
        <r>
          <rPr>
            <b/>
            <sz val="9"/>
            <color indexed="81"/>
            <rFont val="Tahoma"/>
            <family val="2"/>
          </rPr>
          <t>Jie L:</t>
        </r>
        <r>
          <rPr>
            <sz val="9"/>
            <color indexed="81"/>
            <rFont val="Tahoma"/>
            <family val="2"/>
          </rPr>
          <t xml:space="preserve">
MS_B</t>
        </r>
      </text>
    </comment>
    <comment ref="E32" authorId="1" shapeId="0" xr:uid="{C69DE746-D73F-432B-9542-5946FB7E5448}">
      <text>
        <r>
          <rPr>
            <b/>
            <sz val="9"/>
            <color indexed="81"/>
            <rFont val="Tahoma"/>
            <family val="2"/>
          </rPr>
          <t>Jie L:</t>
        </r>
        <r>
          <rPr>
            <sz val="9"/>
            <color indexed="81"/>
            <rFont val="Tahoma"/>
            <family val="2"/>
          </rPr>
          <t xml:space="preserve">
F-statistic (or F-value)</t>
        </r>
      </text>
    </comment>
    <comment ref="F32" authorId="1" shapeId="0" xr:uid="{EAC1404C-B29C-4089-9D3C-3B661B6ACED7}">
      <text>
        <r>
          <rPr>
            <b/>
            <sz val="9"/>
            <color indexed="81"/>
            <rFont val="Tahoma"/>
            <family val="2"/>
          </rPr>
          <t>Jie L:</t>
        </r>
        <r>
          <rPr>
            <sz val="9"/>
            <color indexed="81"/>
            <rFont val="Tahoma"/>
            <family val="2"/>
          </rPr>
          <t xml:space="preserve">
p-value: use function FDIST to look up value</t>
        </r>
      </text>
    </comment>
    <comment ref="B33" authorId="1" shapeId="0" xr:uid="{B0B132F4-3BDC-47BB-A25E-2ED8BC5EDF16}">
      <text>
        <r>
          <rPr>
            <b/>
            <sz val="9"/>
            <color indexed="81"/>
            <rFont val="Tahoma"/>
            <family val="2"/>
          </rPr>
          <t>Jie L:</t>
        </r>
        <r>
          <rPr>
            <sz val="9"/>
            <color indexed="81"/>
            <rFont val="Tahoma"/>
            <family val="2"/>
          </rPr>
          <t xml:space="preserve">
SS_W = sum ( (n_j - 1)*var_j )</t>
        </r>
      </text>
    </comment>
    <comment ref="C33" authorId="1" shapeId="0" xr:uid="{B942E617-6B9E-4FA6-831E-9EF54387F793}">
      <text>
        <r>
          <rPr>
            <b/>
            <sz val="9"/>
            <color indexed="81"/>
            <rFont val="Tahoma"/>
            <family val="2"/>
          </rPr>
          <t>Jie L:</t>
        </r>
        <r>
          <rPr>
            <sz val="9"/>
            <color indexed="81"/>
            <rFont val="Tahoma"/>
            <family val="2"/>
          </rPr>
          <t xml:space="preserve">
sum ( n_j ) - k</t>
        </r>
      </text>
    </comment>
    <comment ref="D33" authorId="1" shapeId="0" xr:uid="{B80498D3-9637-40FA-84C3-9A9529597505}">
      <text>
        <r>
          <rPr>
            <b/>
            <sz val="9"/>
            <color indexed="81"/>
            <rFont val="Tahoma"/>
            <family val="2"/>
          </rPr>
          <t>Jie L:</t>
        </r>
        <r>
          <rPr>
            <sz val="9"/>
            <color indexed="81"/>
            <rFont val="Tahoma"/>
            <family val="2"/>
          </rPr>
          <t xml:space="preserve">
MS_W</t>
        </r>
      </text>
    </comment>
    <comment ref="B34" authorId="1" shapeId="0" xr:uid="{90B5C060-B37F-4084-85F4-0A6F0E951D9B}">
      <text>
        <r>
          <rPr>
            <b/>
            <sz val="9"/>
            <color indexed="81"/>
            <rFont val="Tahoma"/>
            <family val="2"/>
          </rPr>
          <t>Jie L:</t>
        </r>
        <r>
          <rPr>
            <sz val="9"/>
            <color indexed="81"/>
            <rFont val="Tahoma"/>
            <family val="2"/>
          </rPr>
          <t xml:space="preserve">
SS_T = SS_B + SS_W</t>
        </r>
      </text>
    </comment>
    <comment ref="C34" authorId="1" shapeId="0" xr:uid="{048EA3F1-403F-462A-ACD7-248B2260E356}">
      <text>
        <r>
          <rPr>
            <b/>
            <sz val="9"/>
            <color indexed="81"/>
            <rFont val="Tahoma"/>
            <family val="2"/>
          </rPr>
          <t>Jie L:</t>
        </r>
        <r>
          <rPr>
            <sz val="9"/>
            <color indexed="81"/>
            <rFont val="Tahoma"/>
            <family val="2"/>
          </rPr>
          <t xml:space="preserve">
sum ( n_j ) - 1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<sst xmlns="http://schemas.openxmlformats.org/spreadsheetml/2006/main" count="117" uniqueCount="61">
  <si>
    <t>Total</t>
  </si>
  <si>
    <t>SS</t>
  </si>
  <si>
    <t>MS</t>
  </si>
  <si>
    <t>F</t>
  </si>
  <si>
    <t>Sample Size</t>
  </si>
  <si>
    <t>Sample Mean</t>
  </si>
  <si>
    <t>Sample Variance</t>
  </si>
  <si>
    <t>Between Groups</t>
  </si>
  <si>
    <t>Global Mean</t>
  </si>
  <si>
    <t>Measurement 1</t>
  </si>
  <si>
    <t>Measurement 2</t>
  </si>
  <si>
    <t>Measurement 3</t>
  </si>
  <si>
    <t>p</t>
  </si>
  <si>
    <t>DATA COLLECTION</t>
  </si>
  <si>
    <t>DESCRIPTIVE STATISTICS</t>
  </si>
  <si>
    <t>ANOVA TABLE</t>
  </si>
  <si>
    <t>POST-HOC ANALYSIS</t>
  </si>
  <si>
    <t>Null hypothesis</t>
  </si>
  <si>
    <t>Decision</t>
  </si>
  <si>
    <t>Interpretation</t>
  </si>
  <si>
    <t>Comment: Input data into the table below; only change numbers in BLUE.</t>
  </si>
  <si>
    <t>Comment: Summary of values from data; used for ANOVA.</t>
  </si>
  <si>
    <t>Comment: Results of ANOVA indicated in RED.</t>
  </si>
  <si>
    <t>Comment: Only if null is rejected; pairs labeled "TRUE" indicate signficant difference.</t>
  </si>
  <si>
    <t>df</t>
  </si>
  <si>
    <t>Within Groups (Error)</t>
  </si>
  <si>
    <t>Measurement 4</t>
  </si>
  <si>
    <t>Measurement 5</t>
  </si>
  <si>
    <t>Measurement 6</t>
  </si>
  <si>
    <t>Measurement 7</t>
  </si>
  <si>
    <t>Measurement 8</t>
  </si>
  <si>
    <t>Measurement 9</t>
  </si>
  <si>
    <t>Measurement 10</t>
  </si>
  <si>
    <t>Memorial</t>
  </si>
  <si>
    <t>DF</t>
  </si>
  <si>
    <t>Health</t>
  </si>
  <si>
    <t>Gulf</t>
  </si>
  <si>
    <t>Cape</t>
  </si>
  <si>
    <t>Medication</t>
  </si>
  <si>
    <t>Exercise</t>
  </si>
  <si>
    <t>Diet</t>
  </si>
  <si>
    <t>Type your null hypothesis here</t>
  </si>
  <si>
    <t>Type your conclusion here</t>
  </si>
  <si>
    <t>Enter data values in this table</t>
  </si>
  <si>
    <t>Do not "hard code" anything; refer to cells or groups of cells</t>
  </si>
  <si>
    <t>Enter formulas for calculations of summary statistics here</t>
  </si>
  <si>
    <t>Enter formulas for calculations of ANOVA table components here</t>
  </si>
  <si>
    <t>Enter titles/labels for experimental conditions/levels here</t>
  </si>
  <si>
    <t>Remember variance (VAR) is equal to standard deviation (STDEV) raised to the second power</t>
  </si>
  <si>
    <t>Helpful functions include COUNT, AVERAGE, VAR, SUMPRODUCT</t>
  </si>
  <si>
    <t>Helpful functions include COUNT, VAR, SUMPRODUCT, FDIST</t>
  </si>
  <si>
    <t>Refer back to the problem statement to interpret within context</t>
  </si>
  <si>
    <t>α</t>
  </si>
  <si>
    <t>Tukey Honestly Significant Difference (HSD)</t>
  </si>
  <si>
    <t>Enter formulas for comparison of mean difference to bounds here</t>
  </si>
  <si>
    <t>Inequalities will return "TRUE" or "FALSE"</t>
  </si>
  <si>
    <t>q*</t>
  </si>
  <si>
    <t>Studentized range statistic</t>
  </si>
  <si>
    <t>based on k, df_within, alpha</t>
  </si>
  <si>
    <t>Helpful functions include ABS, SQRT</t>
  </si>
  <si>
    <t>"All group means are equal(Medication=Exercise+diet)"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</si>
</sst>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0.000"/>
  </numFmts>
  <fonts count="14" x14ac:knownFonts="1">
    <font>
      <sz val="12"/>
      <color rgb="FF000000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2"/>
      <color rgb="FF0070C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70C0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sz val="8"/>
      <name val="Calibri"/>
      <family val="2"/>
      <scheme val="minor"/>
    </font>
    <font>
      <b/>
      <sz val="12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D8D8D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</fills>
  <borders count="18">
    <border>
      <left/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6" fillId="0" borderId="0" applyFont="0" applyFill="0" applyBorder="0" applyAlignment="0" applyProtection="0"/>
  </cellStyleXfs>
  <cellXfs count="81">
    <xf numFmtId="0" fontId="0" fillId="0" borderId="0" xfId="0"/>
    <xf numFmtId="0" fontId="3" fillId="0" borderId="5" xfId="0" applyFont="1" applyBorder="1"/>
    <xf numFmtId="0" fontId="2" fillId="0" borderId="5" xfId="0" applyFont="1" applyBorder="1"/>
    <xf numFmtId="0" fontId="2" fillId="0" borderId="5" xfId="0" applyFont="1" applyBorder="1" applyAlignment="1">
      <alignment wrapText="1"/>
    </xf>
    <xf numFmtId="0" fontId="0" fillId="0" borderId="5" xfId="0" applyBorder="1"/>
    <xf numFmtId="0" fontId="3" fillId="0" borderId="7" xfId="0" applyFont="1" applyBorder="1"/>
    <xf numFmtId="0" fontId="2" fillId="2" borderId="5" xfId="0" applyFont="1" applyFill="1" applyBorder="1"/>
    <xf numFmtId="0" fontId="4" fillId="2" borderId="2" xfId="0" applyFont="1" applyFill="1" applyBorder="1"/>
    <xf numFmtId="0" fontId="0" fillId="2" borderId="5" xfId="0" applyFill="1" applyBorder="1"/>
    <xf numFmtId="0" fontId="0" fillId="0" borderId="7" xfId="0" applyBorder="1"/>
    <xf numFmtId="0" fontId="2" fillId="2" borderId="2" xfId="0" applyFont="1" applyFill="1" applyBorder="1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6" fillId="2" borderId="3" xfId="0" applyFont="1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6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0" fillId="2" borderId="6" xfId="0" applyFill="1" applyBorder="1" applyAlignment="1">
      <alignment horizontal="center"/>
    </xf>
    <xf numFmtId="0" fontId="5" fillId="0" borderId="0" xfId="0" applyFont="1" applyAlignment="1">
      <alignment horizontal="center"/>
    </xf>
    <xf numFmtId="0" fontId="0" fillId="0" borderId="6" xfId="0" applyBorder="1" applyAlignment="1">
      <alignment horizontal="center"/>
    </xf>
    <xf numFmtId="2" fontId="7" fillId="0" borderId="0" xfId="0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2" fillId="0" borderId="6" xfId="0" applyFont="1" applyBorder="1" applyAlignment="1">
      <alignment horizontal="center" wrapText="1"/>
    </xf>
    <xf numFmtId="2" fontId="2" fillId="0" borderId="6" xfId="0" applyNumberFormat="1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10" fillId="0" borderId="5" xfId="0" applyFont="1" applyBorder="1"/>
    <xf numFmtId="0" fontId="7" fillId="0" borderId="0" xfId="0" applyFont="1" applyAlignment="1">
      <alignment horizontal="left"/>
    </xf>
    <xf numFmtId="0" fontId="5" fillId="5" borderId="2" xfId="0" applyFont="1" applyFill="1" applyBorder="1" applyAlignment="1">
      <alignment horizontal="center"/>
    </xf>
    <xf numFmtId="0" fontId="5" fillId="5" borderId="3" xfId="0" applyFont="1" applyFill="1" applyBorder="1" applyAlignment="1">
      <alignment horizontal="center"/>
    </xf>
    <xf numFmtId="0" fontId="5" fillId="5" borderId="4" xfId="0" applyFont="1" applyFill="1" applyBorder="1" applyAlignment="1">
      <alignment horizontal="center"/>
    </xf>
    <xf numFmtId="0" fontId="5" fillId="5" borderId="5" xfId="0" applyFont="1" applyFill="1" applyBorder="1" applyAlignment="1">
      <alignment horizontal="center"/>
    </xf>
    <xf numFmtId="0" fontId="5" fillId="5" borderId="0" xfId="0" applyFont="1" applyFill="1" applyAlignment="1">
      <alignment horizontal="center"/>
    </xf>
    <xf numFmtId="0" fontId="5" fillId="5" borderId="6" xfId="0" applyFont="1" applyFill="1" applyBorder="1" applyAlignment="1">
      <alignment horizontal="center"/>
    </xf>
    <xf numFmtId="0" fontId="5" fillId="5" borderId="7" xfId="0" applyFont="1" applyFill="1" applyBorder="1" applyAlignment="1">
      <alignment horizontal="center"/>
    </xf>
    <xf numFmtId="0" fontId="5" fillId="5" borderId="8" xfId="0" applyFont="1" applyFill="1" applyBorder="1" applyAlignment="1">
      <alignment horizontal="center"/>
    </xf>
    <xf numFmtId="0" fontId="5" fillId="5" borderId="9" xfId="0" applyFont="1" applyFill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7" fillId="0" borderId="5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7" fillId="0" borderId="6" xfId="0" applyFont="1" applyBorder="1" applyAlignment="1">
      <alignment horizontal="center"/>
    </xf>
    <xf numFmtId="2" fontId="7" fillId="0" borderId="5" xfId="0" applyNumberFormat="1" applyFont="1" applyBorder="1" applyAlignment="1">
      <alignment horizontal="center"/>
    </xf>
    <xf numFmtId="2" fontId="7" fillId="0" borderId="6" xfId="0" applyNumberFormat="1" applyFont="1" applyBorder="1" applyAlignment="1">
      <alignment horizontal="center"/>
    </xf>
    <xf numFmtId="2" fontId="7" fillId="0" borderId="7" xfId="0" applyNumberFormat="1" applyFont="1" applyBorder="1" applyAlignment="1">
      <alignment horizontal="center"/>
    </xf>
    <xf numFmtId="2" fontId="7" fillId="0" borderId="8" xfId="0" applyNumberFormat="1" applyFont="1" applyBorder="1" applyAlignment="1">
      <alignment horizontal="center"/>
    </xf>
    <xf numFmtId="2" fontId="7" fillId="0" borderId="9" xfId="0" applyNumberFormat="1" applyFont="1" applyBorder="1" applyAlignment="1">
      <alignment horizontal="center"/>
    </xf>
    <xf numFmtId="2" fontId="7" fillId="0" borderId="2" xfId="0" applyNumberFormat="1" applyFont="1" applyBorder="1" applyAlignment="1">
      <alignment horizontal="center"/>
    </xf>
    <xf numFmtId="2" fontId="7" fillId="0" borderId="3" xfId="0" applyNumberFormat="1" applyFont="1" applyBorder="1" applyAlignment="1">
      <alignment horizontal="center"/>
    </xf>
    <xf numFmtId="11" fontId="7" fillId="0" borderId="4" xfId="1" applyNumberFormat="1" applyFont="1" applyBorder="1" applyAlignment="1">
      <alignment horizontal="center"/>
    </xf>
    <xf numFmtId="0" fontId="7" fillId="0" borderId="8" xfId="0" applyFont="1" applyBorder="1" applyAlignment="1">
      <alignment horizontal="center"/>
    </xf>
    <xf numFmtId="0" fontId="7" fillId="0" borderId="9" xfId="0" applyFont="1" applyBorder="1" applyAlignment="1">
      <alignment horizontal="center"/>
    </xf>
    <xf numFmtId="0" fontId="7" fillId="3" borderId="10" xfId="0" applyFont="1" applyFill="1" applyBorder="1" applyAlignment="1">
      <alignment horizontal="center"/>
    </xf>
    <xf numFmtId="164" fontId="7" fillId="0" borderId="3" xfId="0" applyNumberFormat="1" applyFont="1" applyBorder="1" applyAlignment="1">
      <alignment horizontal="center"/>
    </xf>
    <xf numFmtId="164" fontId="7" fillId="0" borderId="4" xfId="0" applyNumberFormat="1" applyFont="1" applyBorder="1" applyAlignment="1">
      <alignment horizontal="center"/>
    </xf>
    <xf numFmtId="0" fontId="7" fillId="3" borderId="5" xfId="0" applyFont="1" applyFill="1" applyBorder="1" applyAlignment="1">
      <alignment horizontal="center"/>
    </xf>
    <xf numFmtId="164" fontId="7" fillId="3" borderId="1" xfId="0" applyNumberFormat="1" applyFont="1" applyFill="1" applyBorder="1" applyAlignment="1">
      <alignment horizontal="center"/>
    </xf>
    <xf numFmtId="164" fontId="7" fillId="0" borderId="12" xfId="0" applyNumberFormat="1" applyFont="1" applyBorder="1" applyAlignment="1">
      <alignment horizontal="center"/>
    </xf>
    <xf numFmtId="164" fontId="7" fillId="0" borderId="0" xfId="0" applyNumberFormat="1" applyFont="1" applyAlignment="1">
      <alignment horizontal="center"/>
    </xf>
    <xf numFmtId="164" fontId="7" fillId="0" borderId="6" xfId="0" applyNumberFormat="1" applyFont="1" applyBorder="1" applyAlignment="1">
      <alignment horizontal="center"/>
    </xf>
    <xf numFmtId="164" fontId="7" fillId="3" borderId="0" xfId="0" applyNumberFormat="1" applyFont="1" applyFill="1" applyAlignment="1">
      <alignment horizontal="center"/>
    </xf>
    <xf numFmtId="164" fontId="7" fillId="0" borderId="13" xfId="0" applyNumberFormat="1" applyFont="1" applyBorder="1" applyAlignment="1">
      <alignment horizontal="center"/>
    </xf>
    <xf numFmtId="0" fontId="7" fillId="3" borderId="7" xfId="0" applyFont="1" applyFill="1" applyBorder="1" applyAlignment="1">
      <alignment horizontal="center"/>
    </xf>
    <xf numFmtId="0" fontId="7" fillId="3" borderId="8" xfId="0" applyFont="1" applyFill="1" applyBorder="1" applyAlignment="1">
      <alignment horizontal="center"/>
    </xf>
    <xf numFmtId="0" fontId="7" fillId="3" borderId="11" xfId="0" applyFont="1" applyFill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3" fillId="0" borderId="6" xfId="0" applyFont="1" applyBorder="1" applyAlignment="1">
      <alignment horizontal="center"/>
    </xf>
    <xf numFmtId="0" fontId="7" fillId="5" borderId="6" xfId="0" applyFont="1" applyFill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7" fillId="0" borderId="0" xfId="0" applyFont="1" applyAlignment="1">
      <alignment horizontal="left"/>
    </xf>
    <xf numFmtId="0" fontId="7" fillId="0" borderId="0" xfId="0" applyFont="1"/>
    <xf numFmtId="0" fontId="11" fillId="4" borderId="0" xfId="0" applyFont="1" applyFill="1" applyAlignment="1">
      <alignment horizontal="left"/>
    </xf>
    <xf numFmtId="0" fontId="11" fillId="4" borderId="0" xfId="0" applyFont="1" applyFill="1"/>
    <xf numFmtId="2" fontId="0" fillId="0" borderId="15" xfId="0" applyNumberFormat="1" applyBorder="1" applyAlignment="1">
      <alignment horizontal="center"/>
    </xf>
    <xf numFmtId="2" fontId="7" fillId="0" borderId="0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17" xfId="0" applyNumberFormat="1" applyBorder="1" applyAlignment="1">
      <alignment horizontal="center"/>
    </xf>
  </cellXfs>
  <cellStyles count="2">
    <cellStyle name="Comma" xfId="1" builtinId="3"/>
    <cellStyle name="Normal" xfId="0" builtinId="0"/>
  </cellStyles>
  <dxfs count="6"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0"/>
  <sheetViews>
    <sheetView tabSelected="1" topLeftCell="A16" zoomScaleNormal="100" workbookViewId="0">
      <selection activeCell="C24" sqref="C24"/>
    </sheetView>
  </sheetViews>
  <sheetFormatPr defaultColWidth="10.59765625" defaultRowHeight="15.6" x14ac:dyDescent="0.3"/>
  <cols>
    <col min="1" max="1" width="20.59765625" customWidth="1"/>
    <col min="2" max="7" width="10.59765625" style="12" customWidth="1"/>
    <col min="8" max="8" width="10.59765625" customWidth="1"/>
  </cols>
  <sheetData>
    <row r="1" spans="1:8" x14ac:dyDescent="0.3">
      <c r="A1" s="7" t="s">
        <v>13</v>
      </c>
      <c r="B1" s="13"/>
      <c r="C1" s="14"/>
      <c r="D1" s="14"/>
      <c r="E1" s="14"/>
      <c r="F1" s="14"/>
      <c r="G1" s="15"/>
    </row>
    <row r="2" spans="1:8" x14ac:dyDescent="0.3">
      <c r="A2" s="8" t="s">
        <v>20</v>
      </c>
      <c r="B2" s="16"/>
      <c r="C2" s="17"/>
      <c r="D2" s="17"/>
      <c r="E2" s="17"/>
      <c r="F2" s="17"/>
      <c r="G2" s="18"/>
    </row>
    <row r="3" spans="1:8" x14ac:dyDescent="0.3">
      <c r="A3" s="1"/>
      <c r="B3" s="19"/>
      <c r="G3" s="20"/>
    </row>
    <row r="4" spans="1:8" ht="16.2" thickBot="1" x14ac:dyDescent="0.35">
      <c r="A4" s="4"/>
      <c r="B4" s="19" t="s">
        <v>38</v>
      </c>
      <c r="C4" s="19" t="s">
        <v>39</v>
      </c>
      <c r="D4" s="19" t="s">
        <v>40</v>
      </c>
      <c r="E4" s="19"/>
      <c r="F4" s="19"/>
      <c r="G4" s="26"/>
      <c r="H4" t="s">
        <v>47</v>
      </c>
    </row>
    <row r="5" spans="1:8" x14ac:dyDescent="0.3">
      <c r="A5" s="2" t="s">
        <v>9</v>
      </c>
      <c r="B5" s="31">
        <v>10</v>
      </c>
      <c r="C5" s="32">
        <v>6</v>
      </c>
      <c r="D5" s="32">
        <v>5</v>
      </c>
      <c r="E5" s="32"/>
      <c r="F5" s="33"/>
      <c r="G5" s="27"/>
      <c r="H5" t="s">
        <v>43</v>
      </c>
    </row>
    <row r="6" spans="1:8" x14ac:dyDescent="0.3">
      <c r="A6" s="2" t="s">
        <v>10</v>
      </c>
      <c r="B6" s="34">
        <v>12</v>
      </c>
      <c r="C6" s="35">
        <v>8</v>
      </c>
      <c r="D6" s="35">
        <v>9</v>
      </c>
      <c r="E6" s="35"/>
      <c r="F6" s="36"/>
      <c r="G6" s="27"/>
    </row>
    <row r="7" spans="1:8" x14ac:dyDescent="0.3">
      <c r="A7" s="2" t="s">
        <v>11</v>
      </c>
      <c r="B7" s="34">
        <v>9</v>
      </c>
      <c r="C7" s="35">
        <v>3</v>
      </c>
      <c r="D7" s="35">
        <v>12</v>
      </c>
      <c r="E7" s="35"/>
      <c r="F7" s="36"/>
      <c r="G7" s="27"/>
    </row>
    <row r="8" spans="1:8" x14ac:dyDescent="0.3">
      <c r="A8" s="2" t="s">
        <v>26</v>
      </c>
      <c r="B8" s="34">
        <v>15</v>
      </c>
      <c r="C8" s="35">
        <v>0</v>
      </c>
      <c r="D8" s="35">
        <v>8</v>
      </c>
      <c r="E8" s="35"/>
      <c r="F8" s="36"/>
      <c r="G8" s="27"/>
    </row>
    <row r="9" spans="1:8" x14ac:dyDescent="0.3">
      <c r="A9" s="2" t="s">
        <v>27</v>
      </c>
      <c r="B9" s="34">
        <v>13</v>
      </c>
      <c r="C9" s="35">
        <v>2</v>
      </c>
      <c r="D9" s="35">
        <v>4</v>
      </c>
      <c r="E9" s="35"/>
      <c r="F9" s="36"/>
      <c r="G9" s="27"/>
    </row>
    <row r="10" spans="1:8" x14ac:dyDescent="0.3">
      <c r="A10" s="2" t="s">
        <v>28</v>
      </c>
      <c r="B10" s="34"/>
      <c r="C10" s="35"/>
      <c r="D10" s="35"/>
      <c r="E10" s="35"/>
      <c r="F10" s="36"/>
      <c r="G10" s="27"/>
    </row>
    <row r="11" spans="1:8" x14ac:dyDescent="0.3">
      <c r="A11" s="2" t="s">
        <v>29</v>
      </c>
      <c r="B11" s="34"/>
      <c r="C11" s="35"/>
      <c r="D11" s="35"/>
      <c r="E11" s="35"/>
      <c r="F11" s="36"/>
      <c r="G11" s="27"/>
    </row>
    <row r="12" spans="1:8" x14ac:dyDescent="0.3">
      <c r="A12" s="2" t="s">
        <v>30</v>
      </c>
      <c r="B12" s="34"/>
      <c r="C12" s="35"/>
      <c r="D12" s="35"/>
      <c r="E12" s="35"/>
      <c r="F12" s="36"/>
      <c r="G12" s="27"/>
    </row>
    <row r="13" spans="1:8" x14ac:dyDescent="0.3">
      <c r="A13" s="2" t="s">
        <v>31</v>
      </c>
      <c r="B13" s="34"/>
      <c r="C13" s="35"/>
      <c r="D13" s="35"/>
      <c r="E13" s="35"/>
      <c r="F13" s="36"/>
      <c r="G13" s="27"/>
    </row>
    <row r="14" spans="1:8" ht="16.2" thickBot="1" x14ac:dyDescent="0.35">
      <c r="A14" s="2" t="s">
        <v>32</v>
      </c>
      <c r="B14" s="37"/>
      <c r="C14" s="38"/>
      <c r="D14" s="38"/>
      <c r="E14" s="38"/>
      <c r="F14" s="39"/>
      <c r="G14" s="27"/>
    </row>
    <row r="15" spans="1:8" x14ac:dyDescent="0.3">
      <c r="A15" s="2"/>
      <c r="B15" s="21"/>
      <c r="C15" s="21"/>
      <c r="D15" s="21"/>
      <c r="E15" s="21"/>
      <c r="F15" s="21"/>
      <c r="G15" s="27"/>
    </row>
    <row r="16" spans="1:8" x14ac:dyDescent="0.3">
      <c r="A16" s="6" t="s">
        <v>14</v>
      </c>
      <c r="B16" s="17"/>
      <c r="C16" s="17"/>
      <c r="D16" s="17"/>
      <c r="E16" s="17"/>
      <c r="F16" s="17"/>
      <c r="G16" s="18"/>
    </row>
    <row r="17" spans="1:8" x14ac:dyDescent="0.3">
      <c r="A17" s="8" t="s">
        <v>21</v>
      </c>
      <c r="B17" s="17"/>
      <c r="C17" s="17"/>
      <c r="D17" s="17"/>
      <c r="E17" s="17"/>
      <c r="F17" s="17"/>
      <c r="G17" s="18"/>
    </row>
    <row r="18" spans="1:8" x14ac:dyDescent="0.3">
      <c r="A18" s="4"/>
      <c r="G18" s="20"/>
    </row>
    <row r="19" spans="1:8" ht="16.2" thickBot="1" x14ac:dyDescent="0.35">
      <c r="A19" s="4"/>
      <c r="B19" s="19" t="str">
        <f t="shared" ref="B19:D19" si="0">B4</f>
        <v>Medication</v>
      </c>
      <c r="C19" s="19" t="str">
        <f t="shared" si="0"/>
        <v>Exercise</v>
      </c>
      <c r="D19" s="19" t="str">
        <f t="shared" si="0"/>
        <v>Diet</v>
      </c>
      <c r="E19" s="19"/>
      <c r="F19" s="19"/>
      <c r="G19" s="20"/>
    </row>
    <row r="20" spans="1:8" x14ac:dyDescent="0.3">
      <c r="A20" s="2" t="s">
        <v>4</v>
      </c>
      <c r="B20" s="40">
        <f>COUNT(B5:B9)</f>
        <v>5</v>
      </c>
      <c r="C20" s="41">
        <f>COUNT(C5:C9)</f>
        <v>5</v>
      </c>
      <c r="D20" s="41">
        <f>COUNT(D5:D9)</f>
        <v>5</v>
      </c>
      <c r="E20" s="41"/>
      <c r="F20" s="42"/>
      <c r="G20" s="20"/>
      <c r="H20" t="s">
        <v>45</v>
      </c>
    </row>
    <row r="21" spans="1:8" x14ac:dyDescent="0.3">
      <c r="A21" s="2" t="s">
        <v>34</v>
      </c>
      <c r="B21" s="43">
        <f>COUNT(B5:B9)-1</f>
        <v>4</v>
      </c>
      <c r="C21" s="43">
        <f t="shared" ref="C21:D21" si="1">COUNT(C5:C9)-1</f>
        <v>4</v>
      </c>
      <c r="D21" s="43">
        <f t="shared" si="1"/>
        <v>4</v>
      </c>
      <c r="E21" s="44"/>
      <c r="F21" s="45"/>
      <c r="G21" s="20"/>
      <c r="H21" t="s">
        <v>44</v>
      </c>
    </row>
    <row r="22" spans="1:8" x14ac:dyDescent="0.3">
      <c r="A22" s="2" t="s">
        <v>5</v>
      </c>
      <c r="B22" s="46">
        <f>AVERAGE(B5:B9)</f>
        <v>11.8</v>
      </c>
      <c r="C22" s="46">
        <f>AVERAGE(C5:C9)</f>
        <v>3.8</v>
      </c>
      <c r="D22" s="46">
        <f t="shared" ref="C22:D22" si="2">AVERAGE(D5:D9)</f>
        <v>7.6</v>
      </c>
      <c r="E22" s="21"/>
      <c r="F22" s="47"/>
      <c r="G22" s="20"/>
      <c r="H22" t="s">
        <v>49</v>
      </c>
    </row>
    <row r="23" spans="1:8" ht="16.2" thickBot="1" x14ac:dyDescent="0.35">
      <c r="A23" s="2" t="s">
        <v>6</v>
      </c>
      <c r="B23" s="46">
        <f>_xlfn.VAR.S(B5:B9)</f>
        <v>5.6999999999999886</v>
      </c>
      <c r="C23" s="46">
        <f t="shared" ref="C23:D23" si="3">_xlfn.VAR.S(C5:C9)</f>
        <v>10.199999999999999</v>
      </c>
      <c r="D23" s="46">
        <f t="shared" si="3"/>
        <v>10.299999999999997</v>
      </c>
      <c r="E23" s="78"/>
      <c r="F23" s="47"/>
      <c r="G23" s="20"/>
      <c r="H23" t="s">
        <v>48</v>
      </c>
    </row>
    <row r="24" spans="1:8" ht="16.2" thickBot="1" x14ac:dyDescent="0.35">
      <c r="A24" s="3" t="s">
        <v>8</v>
      </c>
      <c r="B24" s="77">
        <f>AVERAGE(B5:D9)</f>
        <v>7.7333333333333334</v>
      </c>
      <c r="C24" s="77">
        <f t="shared" ref="C24:D24" si="4">AVERAGE(C5:E9)</f>
        <v>5.7</v>
      </c>
      <c r="D24" s="77">
        <f t="shared" si="4"/>
        <v>7.6</v>
      </c>
      <c r="E24" s="79"/>
      <c r="F24" s="80"/>
      <c r="G24" s="20"/>
    </row>
    <row r="25" spans="1:8" x14ac:dyDescent="0.3">
      <c r="A25" s="3"/>
      <c r="B25" s="22"/>
      <c r="C25" s="22"/>
      <c r="D25" s="22"/>
      <c r="E25" s="22"/>
      <c r="F25" s="22"/>
      <c r="G25" s="20"/>
    </row>
    <row r="26" spans="1:8" x14ac:dyDescent="0.3">
      <c r="A26" s="6" t="s">
        <v>15</v>
      </c>
      <c r="B26" s="17"/>
      <c r="C26" s="17"/>
      <c r="D26" s="17"/>
      <c r="E26" s="17"/>
      <c r="F26" s="17"/>
      <c r="G26" s="18"/>
    </row>
    <row r="27" spans="1:8" x14ac:dyDescent="0.3">
      <c r="A27" s="8" t="s">
        <v>22</v>
      </c>
      <c r="B27" s="17"/>
      <c r="C27" s="17"/>
      <c r="D27" s="17"/>
      <c r="E27" s="17"/>
      <c r="F27" s="17"/>
      <c r="G27" s="18"/>
    </row>
    <row r="28" spans="1:8" x14ac:dyDescent="0.3">
      <c r="A28" s="4"/>
      <c r="G28" s="20"/>
    </row>
    <row r="29" spans="1:8" x14ac:dyDescent="0.3">
      <c r="A29" s="2" t="s">
        <v>17</v>
      </c>
      <c r="B29" s="30" t="s">
        <v>60</v>
      </c>
      <c r="C29" s="44"/>
      <c r="D29" s="44"/>
      <c r="E29" s="44"/>
      <c r="F29" s="44"/>
      <c r="G29" s="20"/>
    </row>
    <row r="30" spans="1:8" x14ac:dyDescent="0.3">
      <c r="A30" s="4"/>
      <c r="G30" s="20"/>
    </row>
    <row r="31" spans="1:8" ht="16.2" thickBot="1" x14ac:dyDescent="0.35">
      <c r="A31" s="4"/>
      <c r="B31" s="11" t="s">
        <v>1</v>
      </c>
      <c r="C31" s="11" t="s">
        <v>24</v>
      </c>
      <c r="D31" s="11" t="s">
        <v>2</v>
      </c>
      <c r="E31" s="11" t="s">
        <v>3</v>
      </c>
      <c r="F31" s="11" t="s">
        <v>12</v>
      </c>
      <c r="G31" s="70" t="s">
        <v>52</v>
      </c>
    </row>
    <row r="32" spans="1:8" ht="16.2" thickBot="1" x14ac:dyDescent="0.35">
      <c r="A32" s="2" t="s">
        <v>7</v>
      </c>
      <c r="B32" s="51">
        <f>COUNT(B5:B9)*(AVERAGE(B5:B9)-AVERAGE(B5:D9))^2+COUNT(C5:C9)*(AVERAGE(C5:C9)-AVERAGE(B5:D9))^2+COUNT(D5:D9)*(AVERAGE(D5:D9)-AVERAGE(B5:D9))^2</f>
        <v>160.13333333333338</v>
      </c>
      <c r="C32" s="41">
        <f>3-1</f>
        <v>2</v>
      </c>
      <c r="D32" s="52">
        <f>B32 / C32</f>
        <v>80.066666666666691</v>
      </c>
      <c r="E32" s="52">
        <f>B32/D32</f>
        <v>2</v>
      </c>
      <c r="F32" s="53" t="e" cm="1">
        <f t="array" aca="1" ref="F32" ca="1">B20()</f>
        <v>#REF!</v>
      </c>
      <c r="G32" s="36"/>
      <c r="H32" t="s">
        <v>46</v>
      </c>
    </row>
    <row r="33" spans="1:8" ht="16.2" thickBot="1" x14ac:dyDescent="0.35">
      <c r="A33" s="2" t="s">
        <v>25</v>
      </c>
      <c r="B33" s="51">
        <f>(COUNT(B5:B9)-1)*_xlfn.VAR.S(B5:B9)
 + (COUNT(C5:C9)-1)*_xlfn.VAR.S(C5:C9)
 + (COUNT(D5:D9)-1)*_xlfn.VAR.S(D5:D9)</f>
        <v>104.79999999999994</v>
      </c>
      <c r="C33" s="44">
        <f>COUNT(B5:B9)-3</f>
        <v>2</v>
      </c>
      <c r="D33" s="52">
        <f>B33 / C33</f>
        <v>52.39999999999997</v>
      </c>
      <c r="E33" s="52">
        <f>B33/D33</f>
        <v>2</v>
      </c>
      <c r="F33" s="45"/>
      <c r="G33" s="20"/>
      <c r="H33" t="s">
        <v>44</v>
      </c>
    </row>
    <row r="34" spans="1:8" ht="16.2" thickBot="1" x14ac:dyDescent="0.35">
      <c r="A34" s="2" t="s">
        <v>0</v>
      </c>
      <c r="B34" s="51" cm="1">
        <f t="array" ref="B34">SUMPRODUCT((B5:D9-AVERAGE(B5:D9))^2)</f>
        <v>264.93333333333334</v>
      </c>
      <c r="C34" s="54">
        <f>COUNT(B5:B9)-1</f>
        <v>4</v>
      </c>
      <c r="D34" s="52">
        <f>B34 / C34</f>
        <v>66.233333333333334</v>
      </c>
      <c r="E34" s="52">
        <f t="shared" ref="E33:E34" si="5">B34/D34</f>
        <v>4</v>
      </c>
      <c r="F34" s="55"/>
      <c r="G34" s="20"/>
      <c r="H34" t="s">
        <v>50</v>
      </c>
    </row>
    <row r="35" spans="1:8" x14ac:dyDescent="0.3">
      <c r="A35" s="4"/>
      <c r="G35" s="20"/>
    </row>
    <row r="36" spans="1:8" x14ac:dyDescent="0.3">
      <c r="A36" s="29" t="s">
        <v>18</v>
      </c>
      <c r="B36" s="75" t="e">
        <f ca="1">IF(F32&lt;=G32,"Reject null hypothesis", "Fail to reject null hypothesis")</f>
        <v>#REF!</v>
      </c>
      <c r="C36" s="76"/>
      <c r="D36" s="76"/>
      <c r="E36" s="76"/>
      <c r="F36" s="76"/>
      <c r="G36" s="20"/>
    </row>
    <row r="37" spans="1:8" x14ac:dyDescent="0.3">
      <c r="A37" s="29" t="s">
        <v>19</v>
      </c>
      <c r="B37" s="73" t="s">
        <v>42</v>
      </c>
      <c r="C37" s="74"/>
      <c r="D37" s="74"/>
      <c r="E37" s="74"/>
      <c r="F37" s="74"/>
      <c r="G37" s="20"/>
      <c r="H37" t="s">
        <v>51</v>
      </c>
    </row>
    <row r="38" spans="1:8" ht="16.2" thickBot="1" x14ac:dyDescent="0.35">
      <c r="A38" s="5"/>
      <c r="B38" s="25"/>
      <c r="C38" s="23"/>
      <c r="D38" s="23"/>
      <c r="E38" s="23"/>
      <c r="F38" s="23"/>
      <c r="G38" s="24"/>
    </row>
    <row r="40" spans="1:8" ht="16.2" thickBot="1" x14ac:dyDescent="0.35"/>
    <row r="41" spans="1:8" x14ac:dyDescent="0.3">
      <c r="A41" s="10" t="s">
        <v>16</v>
      </c>
      <c r="B41" s="14"/>
      <c r="C41" s="14"/>
      <c r="D41" s="14"/>
      <c r="E41" s="14"/>
      <c r="F41" s="14"/>
      <c r="G41" s="15"/>
    </row>
    <row r="42" spans="1:8" x14ac:dyDescent="0.3">
      <c r="A42" s="8" t="s">
        <v>23</v>
      </c>
      <c r="B42" s="17"/>
      <c r="C42" s="17"/>
      <c r="D42" s="17"/>
      <c r="E42" s="17"/>
      <c r="F42" s="17"/>
      <c r="G42" s="18"/>
      <c r="H42" t="s">
        <v>53</v>
      </c>
    </row>
    <row r="43" spans="1:8" x14ac:dyDescent="0.3">
      <c r="A43" s="28" t="s">
        <v>5</v>
      </c>
      <c r="B43" s="21">
        <f>B22</f>
        <v>11.8</v>
      </c>
      <c r="C43" s="21">
        <f>C22</f>
        <v>3.8</v>
      </c>
      <c r="D43" s="21">
        <f>D22</f>
        <v>7.6</v>
      </c>
      <c r="E43" s="21"/>
      <c r="F43" s="44"/>
      <c r="G43" s="20"/>
    </row>
    <row r="44" spans="1:8" ht="16.2" thickBot="1" x14ac:dyDescent="0.35">
      <c r="A44" s="4"/>
      <c r="B44" s="19" t="str">
        <f>B4</f>
        <v>Medication</v>
      </c>
      <c r="C44" s="19" t="str">
        <f t="shared" ref="C44:D44" si="6">C4</f>
        <v>Exercise</v>
      </c>
      <c r="D44" s="19" t="str">
        <f t="shared" si="6"/>
        <v>Diet</v>
      </c>
      <c r="E44" s="19"/>
      <c r="F44" s="19"/>
      <c r="G44" s="72" t="s">
        <v>56</v>
      </c>
      <c r="H44" t="s">
        <v>57</v>
      </c>
    </row>
    <row r="45" spans="1:8" x14ac:dyDescent="0.3">
      <c r="A45" s="28" t="str">
        <f>B44</f>
        <v>Medication</v>
      </c>
      <c r="B45" s="56"/>
      <c r="C45" s="57"/>
      <c r="D45" s="57"/>
      <c r="E45" s="57"/>
      <c r="F45" s="58"/>
      <c r="G45" s="71"/>
      <c r="H45" t="s">
        <v>58</v>
      </c>
    </row>
    <row r="46" spans="1:8" x14ac:dyDescent="0.3">
      <c r="A46" s="28" t="str">
        <f>C44</f>
        <v>Exercise</v>
      </c>
      <c r="B46" s="59"/>
      <c r="C46" s="60"/>
      <c r="D46" s="61"/>
      <c r="E46" s="62"/>
      <c r="F46" s="63"/>
      <c r="G46" s="20"/>
    </row>
    <row r="47" spans="1:8" x14ac:dyDescent="0.3">
      <c r="A47" s="28" t="str">
        <f>D44</f>
        <v>Diet</v>
      </c>
      <c r="B47" s="59"/>
      <c r="C47" s="64"/>
      <c r="D47" s="60"/>
      <c r="E47" s="65"/>
      <c r="F47" s="63"/>
      <c r="G47" s="20"/>
      <c r="H47" t="s">
        <v>54</v>
      </c>
    </row>
    <row r="48" spans="1:8" x14ac:dyDescent="0.3">
      <c r="A48" s="28"/>
      <c r="B48" s="59"/>
      <c r="C48" s="64"/>
      <c r="D48" s="64"/>
      <c r="E48" s="60"/>
      <c r="F48" s="63"/>
      <c r="G48" s="20"/>
      <c r="H48" t="s">
        <v>59</v>
      </c>
    </row>
    <row r="49" spans="1:8" ht="16.2" thickBot="1" x14ac:dyDescent="0.35">
      <c r="A49" s="28"/>
      <c r="B49" s="66"/>
      <c r="C49" s="67"/>
      <c r="D49" s="67"/>
      <c r="E49" s="67"/>
      <c r="F49" s="68"/>
      <c r="G49" s="20"/>
      <c r="H49" t="s">
        <v>55</v>
      </c>
    </row>
    <row r="50" spans="1:8" ht="16.2" thickBot="1" x14ac:dyDescent="0.35">
      <c r="A50" s="9"/>
      <c r="B50" s="23"/>
      <c r="C50" s="23"/>
      <c r="D50" s="23"/>
      <c r="E50" s="23"/>
      <c r="F50" s="23"/>
      <c r="G50" s="24"/>
    </row>
  </sheetData>
  <mergeCells count="2">
    <mergeCell ref="B37:F37"/>
    <mergeCell ref="B36:F36"/>
  </mergeCells>
  <phoneticPr fontId="12" type="noConversion"/>
  <conditionalFormatting sqref="B36:F36">
    <cfRule type="cellIs" dxfId="5" priority="2" operator="equal">
      <formula>"Reject null hypothesis"</formula>
    </cfRule>
  </conditionalFormatting>
  <conditionalFormatting sqref="B37:F37">
    <cfRule type="cellIs" dxfId="4" priority="1" operator="equal">
      <formula>"Surface treatments have a significant effect on contact angle."</formula>
    </cfRule>
  </conditionalFormatting>
  <conditionalFormatting sqref="C45:E45 F45:F48 D46:E46 E47">
    <cfRule type="cellIs" dxfId="3" priority="3" operator="equal">
      <formula>TRUE</formula>
    </cfRule>
  </conditionalFormatting>
  <printOptions horizontalCentered="1" verticalCentered="1"/>
  <pageMargins left="0.25" right="0.25" top="0.5" bottom="0.5" header="0.3" footer="0.3"/>
  <pageSetup orientation="portrait" horizontalDpi="4294967292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B926E3-83A1-4A20-B01E-36FD60DCCAB4}">
  <dimension ref="A1:H50"/>
  <sheetViews>
    <sheetView zoomScaleNormal="100" workbookViewId="0"/>
  </sheetViews>
  <sheetFormatPr defaultColWidth="10.59765625" defaultRowHeight="15.6" x14ac:dyDescent="0.3"/>
  <cols>
    <col min="1" max="1" width="20.59765625" customWidth="1"/>
    <col min="2" max="7" width="10.59765625" style="12" customWidth="1"/>
    <col min="8" max="8" width="10.59765625" customWidth="1"/>
  </cols>
  <sheetData>
    <row r="1" spans="1:8" x14ac:dyDescent="0.3">
      <c r="A1" s="7" t="s">
        <v>13</v>
      </c>
      <c r="B1" s="13"/>
      <c r="C1" s="14"/>
      <c r="D1" s="14"/>
      <c r="E1" s="14"/>
      <c r="F1" s="14"/>
      <c r="G1" s="15"/>
    </row>
    <row r="2" spans="1:8" x14ac:dyDescent="0.3">
      <c r="A2" s="8" t="s">
        <v>20</v>
      </c>
      <c r="B2" s="16"/>
      <c r="C2" s="17"/>
      <c r="D2" s="17"/>
      <c r="E2" s="17"/>
      <c r="F2" s="17"/>
      <c r="G2" s="18"/>
    </row>
    <row r="3" spans="1:8" x14ac:dyDescent="0.3">
      <c r="A3" s="1"/>
      <c r="B3" s="19"/>
      <c r="G3" s="20"/>
    </row>
    <row r="4" spans="1:8" ht="16.2" thickBot="1" x14ac:dyDescent="0.35">
      <c r="A4" s="4"/>
      <c r="B4" s="19" t="s">
        <v>35</v>
      </c>
      <c r="C4" s="19" t="s">
        <v>36</v>
      </c>
      <c r="D4" s="19" t="s">
        <v>33</v>
      </c>
      <c r="E4" s="19" t="s">
        <v>37</v>
      </c>
      <c r="F4" s="19"/>
      <c r="G4" s="26"/>
      <c r="H4" t="s">
        <v>47</v>
      </c>
    </row>
    <row r="5" spans="1:8" x14ac:dyDescent="0.3">
      <c r="A5" s="2" t="s">
        <v>9</v>
      </c>
      <c r="B5" s="31">
        <v>8</v>
      </c>
      <c r="C5" s="32">
        <v>7</v>
      </c>
      <c r="D5" s="32">
        <v>3</v>
      </c>
      <c r="E5" s="32">
        <v>5</v>
      </c>
      <c r="F5" s="33"/>
      <c r="G5" s="27"/>
      <c r="H5" t="s">
        <v>43</v>
      </c>
    </row>
    <row r="6" spans="1:8" x14ac:dyDescent="0.3">
      <c r="A6" s="2" t="s">
        <v>10</v>
      </c>
      <c r="B6" s="34">
        <v>6</v>
      </c>
      <c r="C6" s="35">
        <v>7</v>
      </c>
      <c r="D6" s="35">
        <v>5</v>
      </c>
      <c r="E6" s="35">
        <v>4</v>
      </c>
      <c r="F6" s="36"/>
      <c r="G6" s="27"/>
    </row>
    <row r="7" spans="1:8" x14ac:dyDescent="0.3">
      <c r="A7" s="2" t="s">
        <v>11</v>
      </c>
      <c r="B7" s="34">
        <v>9</v>
      </c>
      <c r="C7" s="35">
        <v>8</v>
      </c>
      <c r="D7" s="35">
        <v>6</v>
      </c>
      <c r="E7" s="35">
        <v>6</v>
      </c>
      <c r="F7" s="36"/>
      <c r="G7" s="27"/>
    </row>
    <row r="8" spans="1:8" x14ac:dyDescent="0.3">
      <c r="A8" s="2" t="s">
        <v>26</v>
      </c>
      <c r="B8" s="34">
        <v>4</v>
      </c>
      <c r="C8" s="35">
        <v>5</v>
      </c>
      <c r="D8" s="35">
        <v>6</v>
      </c>
      <c r="E8" s="35">
        <v>4</v>
      </c>
      <c r="F8" s="36"/>
      <c r="G8" s="27"/>
    </row>
    <row r="9" spans="1:8" x14ac:dyDescent="0.3">
      <c r="A9" s="2" t="s">
        <v>27</v>
      </c>
      <c r="B9" s="34">
        <v>5</v>
      </c>
      <c r="C9" s="35">
        <v>5</v>
      </c>
      <c r="D9" s="35">
        <v>3</v>
      </c>
      <c r="E9" s="35">
        <v>6</v>
      </c>
      <c r="F9" s="36"/>
      <c r="G9" s="27"/>
    </row>
    <row r="10" spans="1:8" x14ac:dyDescent="0.3">
      <c r="A10" s="2" t="s">
        <v>28</v>
      </c>
      <c r="B10" s="34">
        <v>6</v>
      </c>
      <c r="C10" s="35">
        <v>5</v>
      </c>
      <c r="D10" s="35">
        <v>6</v>
      </c>
      <c r="E10" s="35">
        <v>6</v>
      </c>
      <c r="F10" s="36"/>
      <c r="G10" s="27"/>
    </row>
    <row r="11" spans="1:8" x14ac:dyDescent="0.3">
      <c r="A11" s="2" t="s">
        <v>29</v>
      </c>
      <c r="B11" s="34">
        <v>8</v>
      </c>
      <c r="C11" s="35">
        <v>5</v>
      </c>
      <c r="D11" s="35">
        <v>4</v>
      </c>
      <c r="E11" s="35">
        <v>5</v>
      </c>
      <c r="F11" s="36"/>
      <c r="G11" s="27"/>
    </row>
    <row r="12" spans="1:8" x14ac:dyDescent="0.3">
      <c r="A12" s="2" t="s">
        <v>30</v>
      </c>
      <c r="B12" s="34">
        <v>10</v>
      </c>
      <c r="C12" s="35">
        <v>5</v>
      </c>
      <c r="D12" s="35">
        <v>6</v>
      </c>
      <c r="E12" s="35">
        <v>4</v>
      </c>
      <c r="F12" s="36"/>
      <c r="G12" s="27"/>
    </row>
    <row r="13" spans="1:8" x14ac:dyDescent="0.3">
      <c r="A13" s="2" t="s">
        <v>31</v>
      </c>
      <c r="B13" s="34">
        <v>11</v>
      </c>
      <c r="C13" s="35">
        <v>5</v>
      </c>
      <c r="D13" s="35"/>
      <c r="E13" s="35">
        <v>6</v>
      </c>
      <c r="F13" s="36"/>
      <c r="G13" s="27"/>
    </row>
    <row r="14" spans="1:8" ht="16.2" thickBot="1" x14ac:dyDescent="0.35">
      <c r="A14" s="2" t="s">
        <v>32</v>
      </c>
      <c r="B14" s="37">
        <v>7</v>
      </c>
      <c r="C14" s="38">
        <v>7</v>
      </c>
      <c r="D14" s="38"/>
      <c r="E14" s="38"/>
      <c r="F14" s="39"/>
      <c r="G14" s="27"/>
    </row>
    <row r="15" spans="1:8" x14ac:dyDescent="0.3">
      <c r="A15" s="2"/>
      <c r="B15" s="21"/>
      <c r="C15" s="21"/>
      <c r="D15" s="21"/>
      <c r="E15" s="21"/>
      <c r="F15" s="21"/>
      <c r="G15" s="27"/>
    </row>
    <row r="16" spans="1:8" x14ac:dyDescent="0.3">
      <c r="A16" s="6" t="s">
        <v>14</v>
      </c>
      <c r="B16" s="17"/>
      <c r="C16" s="17"/>
      <c r="D16" s="17"/>
      <c r="E16" s="17"/>
      <c r="F16" s="17"/>
      <c r="G16" s="18"/>
    </row>
    <row r="17" spans="1:8" x14ac:dyDescent="0.3">
      <c r="A17" s="8" t="s">
        <v>21</v>
      </c>
      <c r="B17" s="17"/>
      <c r="C17" s="17"/>
      <c r="D17" s="17"/>
      <c r="E17" s="17"/>
      <c r="F17" s="17"/>
      <c r="G17" s="18"/>
    </row>
    <row r="18" spans="1:8" x14ac:dyDescent="0.3">
      <c r="A18" s="4"/>
      <c r="G18" s="20"/>
    </row>
    <row r="19" spans="1:8" ht="16.2" thickBot="1" x14ac:dyDescent="0.35">
      <c r="A19" s="4"/>
      <c r="B19" s="19" t="str">
        <f t="shared" ref="B19:E19" si="0">B4</f>
        <v>Health</v>
      </c>
      <c r="C19" s="19" t="str">
        <f t="shared" si="0"/>
        <v>Gulf</v>
      </c>
      <c r="D19" s="19" t="str">
        <f t="shared" si="0"/>
        <v>Memorial</v>
      </c>
      <c r="E19" s="19" t="str">
        <f t="shared" si="0"/>
        <v>Cape</v>
      </c>
      <c r="F19" s="19"/>
      <c r="G19" s="20"/>
    </row>
    <row r="20" spans="1:8" x14ac:dyDescent="0.3">
      <c r="A20" s="2" t="s">
        <v>4</v>
      </c>
      <c r="B20" s="40"/>
      <c r="C20" s="41"/>
      <c r="D20" s="41"/>
      <c r="E20" s="41"/>
      <c r="F20" s="42"/>
      <c r="G20" s="20"/>
      <c r="H20" t="s">
        <v>45</v>
      </c>
    </row>
    <row r="21" spans="1:8" x14ac:dyDescent="0.3">
      <c r="A21" s="2" t="s">
        <v>34</v>
      </c>
      <c r="B21" s="43"/>
      <c r="C21" s="44"/>
      <c r="D21" s="44"/>
      <c r="E21" s="44"/>
      <c r="F21" s="45"/>
      <c r="G21" s="20"/>
      <c r="H21" t="s">
        <v>44</v>
      </c>
    </row>
    <row r="22" spans="1:8" x14ac:dyDescent="0.3">
      <c r="A22" s="2" t="s">
        <v>5</v>
      </c>
      <c r="B22" s="46"/>
      <c r="C22" s="21"/>
      <c r="D22" s="21"/>
      <c r="E22" s="21"/>
      <c r="F22" s="47"/>
      <c r="G22" s="20"/>
      <c r="H22" t="s">
        <v>49</v>
      </c>
    </row>
    <row r="23" spans="1:8" ht="16.2" thickBot="1" x14ac:dyDescent="0.35">
      <c r="A23" s="2" t="s">
        <v>6</v>
      </c>
      <c r="B23" s="48"/>
      <c r="C23" s="49"/>
      <c r="D23" s="49"/>
      <c r="E23" s="49"/>
      <c r="F23" s="50"/>
      <c r="G23" s="20"/>
      <c r="H23" t="s">
        <v>48</v>
      </c>
    </row>
    <row r="24" spans="1:8" ht="16.2" thickBot="1" x14ac:dyDescent="0.35">
      <c r="A24" s="3" t="s">
        <v>8</v>
      </c>
      <c r="B24" s="69"/>
      <c r="C24" s="22"/>
      <c r="D24" s="22"/>
      <c r="E24" s="22"/>
      <c r="F24" s="22"/>
      <c r="G24" s="20"/>
    </row>
    <row r="25" spans="1:8" x14ac:dyDescent="0.3">
      <c r="A25" s="3"/>
      <c r="B25" s="22"/>
      <c r="C25" s="22"/>
      <c r="D25" s="22"/>
      <c r="E25" s="22"/>
      <c r="F25" s="22"/>
      <c r="G25" s="20"/>
    </row>
    <row r="26" spans="1:8" x14ac:dyDescent="0.3">
      <c r="A26" s="6" t="s">
        <v>15</v>
      </c>
      <c r="B26" s="17"/>
      <c r="C26" s="17"/>
      <c r="D26" s="17"/>
      <c r="E26" s="17"/>
      <c r="F26" s="17"/>
      <c r="G26" s="18"/>
    </row>
    <row r="27" spans="1:8" x14ac:dyDescent="0.3">
      <c r="A27" s="8" t="s">
        <v>22</v>
      </c>
      <c r="B27" s="17"/>
      <c r="C27" s="17"/>
      <c r="D27" s="17"/>
      <c r="E27" s="17"/>
      <c r="F27" s="17"/>
      <c r="G27" s="18"/>
    </row>
    <row r="28" spans="1:8" x14ac:dyDescent="0.3">
      <c r="A28" s="4"/>
      <c r="G28" s="20"/>
    </row>
    <row r="29" spans="1:8" x14ac:dyDescent="0.3">
      <c r="A29" s="2" t="s">
        <v>17</v>
      </c>
      <c r="B29" s="30" t="s">
        <v>41</v>
      </c>
      <c r="C29" s="44"/>
      <c r="D29" s="44"/>
      <c r="E29" s="44"/>
      <c r="F29" s="44"/>
      <c r="G29" s="20"/>
    </row>
    <row r="30" spans="1:8" x14ac:dyDescent="0.3">
      <c r="A30" s="4"/>
      <c r="G30" s="20"/>
    </row>
    <row r="31" spans="1:8" ht="16.2" thickBot="1" x14ac:dyDescent="0.35">
      <c r="A31" s="4"/>
      <c r="B31" s="11" t="s">
        <v>1</v>
      </c>
      <c r="C31" s="11" t="s">
        <v>24</v>
      </c>
      <c r="D31" s="11" t="s">
        <v>2</v>
      </c>
      <c r="E31" s="11" t="s">
        <v>3</v>
      </c>
      <c r="F31" s="11" t="s">
        <v>12</v>
      </c>
      <c r="G31" s="70" t="s">
        <v>52</v>
      </c>
    </row>
    <row r="32" spans="1:8" x14ac:dyDescent="0.3">
      <c r="A32" s="2" t="s">
        <v>7</v>
      </c>
      <c r="B32" s="51"/>
      <c r="C32" s="41"/>
      <c r="D32" s="52"/>
      <c r="E32" s="52"/>
      <c r="F32" s="53"/>
      <c r="G32" s="36"/>
      <c r="H32" t="s">
        <v>46</v>
      </c>
    </row>
    <row r="33" spans="1:8" x14ac:dyDescent="0.3">
      <c r="A33" s="2" t="s">
        <v>25</v>
      </c>
      <c r="B33" s="46"/>
      <c r="C33" s="44"/>
      <c r="D33" s="21"/>
      <c r="E33" s="21"/>
      <c r="F33" s="45"/>
      <c r="G33" s="20"/>
      <c r="H33" t="s">
        <v>44</v>
      </c>
    </row>
    <row r="34" spans="1:8" ht="16.2" thickBot="1" x14ac:dyDescent="0.35">
      <c r="A34" s="2" t="s">
        <v>0</v>
      </c>
      <c r="B34" s="48"/>
      <c r="C34" s="54"/>
      <c r="D34" s="54"/>
      <c r="E34" s="54"/>
      <c r="F34" s="55"/>
      <c r="G34" s="20"/>
      <c r="H34" t="s">
        <v>50</v>
      </c>
    </row>
    <row r="35" spans="1:8" x14ac:dyDescent="0.3">
      <c r="A35" s="4"/>
      <c r="G35" s="20"/>
    </row>
    <row r="36" spans="1:8" x14ac:dyDescent="0.3">
      <c r="A36" s="29" t="s">
        <v>18</v>
      </c>
      <c r="B36" s="75" t="str">
        <f>IF(F32&lt;=G32,"Reject null hypothesis", "Fail to reject null hypothesis")</f>
        <v>Reject null hypothesis</v>
      </c>
      <c r="C36" s="76"/>
      <c r="D36" s="76"/>
      <c r="E36" s="76"/>
      <c r="F36" s="76"/>
      <c r="G36" s="20"/>
    </row>
    <row r="37" spans="1:8" x14ac:dyDescent="0.3">
      <c r="A37" s="29" t="s">
        <v>19</v>
      </c>
      <c r="B37" s="73" t="s">
        <v>42</v>
      </c>
      <c r="C37" s="74"/>
      <c r="D37" s="74"/>
      <c r="E37" s="74"/>
      <c r="F37" s="74"/>
      <c r="G37" s="20"/>
      <c r="H37" t="s">
        <v>51</v>
      </c>
    </row>
    <row r="38" spans="1:8" ht="16.2" thickBot="1" x14ac:dyDescent="0.35">
      <c r="A38" s="5"/>
      <c r="B38" s="25"/>
      <c r="C38" s="23"/>
      <c r="D38" s="23"/>
      <c r="E38" s="23"/>
      <c r="F38" s="23"/>
      <c r="G38" s="24"/>
    </row>
    <row r="40" spans="1:8" ht="16.2" thickBot="1" x14ac:dyDescent="0.35"/>
    <row r="41" spans="1:8" x14ac:dyDescent="0.3">
      <c r="A41" s="10" t="s">
        <v>16</v>
      </c>
      <c r="B41" s="14"/>
      <c r="C41" s="14"/>
      <c r="D41" s="14"/>
      <c r="E41" s="14"/>
      <c r="F41" s="14"/>
      <c r="G41" s="15"/>
    </row>
    <row r="42" spans="1:8" x14ac:dyDescent="0.3">
      <c r="A42" s="8" t="s">
        <v>23</v>
      </c>
      <c r="B42" s="17"/>
      <c r="C42" s="17"/>
      <c r="D42" s="17"/>
      <c r="E42" s="17"/>
      <c r="F42" s="17"/>
      <c r="G42" s="18"/>
      <c r="H42" t="s">
        <v>53</v>
      </c>
    </row>
    <row r="43" spans="1:8" x14ac:dyDescent="0.3">
      <c r="A43" s="28" t="s">
        <v>5</v>
      </c>
      <c r="B43" s="21">
        <f>B22</f>
        <v>0</v>
      </c>
      <c r="C43" s="21">
        <f>C22</f>
        <v>0</v>
      </c>
      <c r="D43" s="21">
        <f>D22</f>
        <v>0</v>
      </c>
      <c r="E43" s="21">
        <f>E22</f>
        <v>0</v>
      </c>
      <c r="F43" s="44"/>
      <c r="G43" s="20"/>
    </row>
    <row r="44" spans="1:8" ht="16.2" thickBot="1" x14ac:dyDescent="0.35">
      <c r="A44" s="4"/>
      <c r="B44" s="19" t="str">
        <f>B4</f>
        <v>Health</v>
      </c>
      <c r="C44" s="19" t="str">
        <f t="shared" ref="C44:D44" si="1">C4</f>
        <v>Gulf</v>
      </c>
      <c r="D44" s="19" t="str">
        <f t="shared" si="1"/>
        <v>Memorial</v>
      </c>
      <c r="E44" s="19" t="str">
        <f>E4</f>
        <v>Cape</v>
      </c>
      <c r="F44" s="19"/>
      <c r="G44" s="72" t="s">
        <v>56</v>
      </c>
      <c r="H44" t="s">
        <v>57</v>
      </c>
    </row>
    <row r="45" spans="1:8" x14ac:dyDescent="0.3">
      <c r="A45" s="28" t="str">
        <f>B44</f>
        <v>Health</v>
      </c>
      <c r="B45" s="56"/>
      <c r="C45" s="57"/>
      <c r="D45" s="57"/>
      <c r="E45" s="57"/>
      <c r="F45" s="58"/>
      <c r="G45" s="71"/>
      <c r="H45" t="s">
        <v>58</v>
      </c>
    </row>
    <row r="46" spans="1:8" x14ac:dyDescent="0.3">
      <c r="A46" s="28" t="str">
        <f>C44</f>
        <v>Gulf</v>
      </c>
      <c r="B46" s="59"/>
      <c r="C46" s="60"/>
      <c r="D46" s="61"/>
      <c r="E46" s="62"/>
      <c r="F46" s="63"/>
      <c r="G46" s="20"/>
    </row>
    <row r="47" spans="1:8" x14ac:dyDescent="0.3">
      <c r="A47" s="28" t="str">
        <f>D44</f>
        <v>Memorial</v>
      </c>
      <c r="B47" s="59"/>
      <c r="C47" s="64"/>
      <c r="D47" s="60"/>
      <c r="E47" s="65"/>
      <c r="F47" s="63"/>
      <c r="G47" s="20"/>
      <c r="H47" t="s">
        <v>54</v>
      </c>
    </row>
    <row r="48" spans="1:8" x14ac:dyDescent="0.3">
      <c r="A48" s="28" t="str">
        <f>E44</f>
        <v>Cape</v>
      </c>
      <c r="B48" s="59"/>
      <c r="C48" s="64"/>
      <c r="D48" s="64"/>
      <c r="E48" s="60"/>
      <c r="F48" s="63"/>
      <c r="G48" s="20"/>
      <c r="H48" t="s">
        <v>59</v>
      </c>
    </row>
    <row r="49" spans="1:8" ht="16.2" thickBot="1" x14ac:dyDescent="0.35">
      <c r="A49" s="28"/>
      <c r="B49" s="66"/>
      <c r="C49" s="67"/>
      <c r="D49" s="67"/>
      <c r="E49" s="67"/>
      <c r="F49" s="68"/>
      <c r="G49" s="20"/>
      <c r="H49" t="s">
        <v>55</v>
      </c>
    </row>
    <row r="50" spans="1:8" ht="16.2" thickBot="1" x14ac:dyDescent="0.35">
      <c r="A50" s="9"/>
      <c r="B50" s="23"/>
      <c r="C50" s="23"/>
      <c r="D50" s="23"/>
      <c r="E50" s="23"/>
      <c r="F50" s="23"/>
      <c r="G50" s="24"/>
    </row>
  </sheetData>
  <mergeCells count="2">
    <mergeCell ref="B36:F36"/>
    <mergeCell ref="B37:F37"/>
  </mergeCells>
  <conditionalFormatting sqref="B36:F36">
    <cfRule type="cellIs" dxfId="2" priority="2" operator="equal">
      <formula>"Reject null hypothesis"</formula>
    </cfRule>
  </conditionalFormatting>
  <conditionalFormatting sqref="B37:F37">
    <cfRule type="cellIs" dxfId="1" priority="1" operator="equal">
      <formula>"Surface treatments have a significant effect on contact angle."</formula>
    </cfRule>
  </conditionalFormatting>
  <conditionalFormatting sqref="C45:E45 F45:F48 D46:E46 E47">
    <cfRule type="cellIs" dxfId="0" priority="3" operator="equal">
      <formula>TRUE</formula>
    </cfRule>
  </conditionalFormatting>
  <printOptions horizontalCentered="1" verticalCentered="1"/>
  <pageMargins left="0.25" right="0.25" top="0.5" bottom="0.5" header="0.3" footer="0.3"/>
  <pageSetup orientation="portrait" horizontalDpi="4294967292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197321-7044-4D88-BDEE-D6A82AF9BE25}">
  <dimension ref="A1"/>
  <sheetViews>
    <sheetView workbookViewId="0"/>
  </sheetViews>
  <sheetFormatPr defaultRowHeight="15.6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Blood Pressure</vt:lpstr>
      <vt:lpstr>Hospital Stay</vt:lpstr>
      <vt:lpstr>Hospital Stay (Excel ANOVA)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Jonathan Terrero</cp:lastModifiedBy>
  <cp:lastPrinted>2018-01-23T01:49:20Z</cp:lastPrinted>
  <dcterms:created xsi:type="dcterms:W3CDTF">2016-01-18T17:55:12Z</dcterms:created>
  <dcterms:modified xsi:type="dcterms:W3CDTF">2025-11-03T15:05:31Z</dcterms:modified>
</cp:coreProperties>
</file>